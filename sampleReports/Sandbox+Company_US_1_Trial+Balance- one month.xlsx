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rial Balance" r:id="rId3" sheetId="1"/>
  </sheets>
</workbook>
</file>

<file path=xl/sharedStrings.xml><?xml version="1.0" encoding="utf-8"?>
<sst xmlns="http://schemas.openxmlformats.org/spreadsheetml/2006/main" count="53" uniqueCount="53">
  <si>
    <t>Debit</t>
  </si>
  <si>
    <t>Credit</t>
  </si>
  <si>
    <t>Checking</t>
  </si>
  <si>
    <t>Savings</t>
  </si>
  <si>
    <t>Accounts Receivable (A/R)</t>
  </si>
  <si>
    <t>Inventory Asset</t>
  </si>
  <si>
    <t>Undeposited Funds</t>
  </si>
  <si>
    <t>Truck:Original Cost</t>
  </si>
  <si>
    <t>Accounts Payable (A/P)</t>
  </si>
  <si>
    <t>Mastercard</t>
  </si>
  <si>
    <t>Arizona Dept. of Revenue Payable</t>
  </si>
  <si>
    <t>Board of Equalization Payable</t>
  </si>
  <si>
    <t>Loan Payable</t>
  </si>
  <si>
    <t>Notes Payable</t>
  </si>
  <si>
    <t>Opening Balance Equity</t>
  </si>
  <si>
    <t>Design income</t>
  </si>
  <si>
    <t>Discounts given</t>
  </si>
  <si>
    <t>Landscaping Services</t>
  </si>
  <si>
    <t>Landscaping Services:Job Materials:Fountains and Garden Lighting</t>
  </si>
  <si>
    <t>Landscaping Services:Job Materials:Plants and Soil</t>
  </si>
  <si>
    <t>Landscaping Services:Job Materials:Sprinklers and Drip Systems</t>
  </si>
  <si>
    <t>Landscaping Services:Labor:Installation</t>
  </si>
  <si>
    <t>Landscaping Services:Labor:Maintenance and Repair</t>
  </si>
  <si>
    <t>Pest Control Services</t>
  </si>
  <si>
    <t>Sales of Product Income</t>
  </si>
  <si>
    <t>Services</t>
  </si>
  <si>
    <t>Cost of Goods Sold</t>
  </si>
  <si>
    <t>Advertising</t>
  </si>
  <si>
    <t>Automobile</t>
  </si>
  <si>
    <t>Automobile:Fuel</t>
  </si>
  <si>
    <t>Equipment Rental</t>
  </si>
  <si>
    <t>Insurance</t>
  </si>
  <si>
    <t>Job Expenses</t>
  </si>
  <si>
    <t>Job Expenses:Job Materials:Decks and Patios</t>
  </si>
  <si>
    <t>Job Expenses:Job Materials:Plants and Soil</t>
  </si>
  <si>
    <t>Job Expenses:Job Materials:Sprinklers and Drip Systems</t>
  </si>
  <si>
    <t>Legal &amp; Professional Fees</t>
  </si>
  <si>
    <t>Legal &amp; Professional Fees:Accounting</t>
  </si>
  <si>
    <t>Legal &amp; Professional Fees:Bookkeeper</t>
  </si>
  <si>
    <t>Legal &amp; Professional Fees:Lawyer</t>
  </si>
  <si>
    <t>Maintenance and Repair</t>
  </si>
  <si>
    <t>Maintenance and Repair:Equipment Repairs</t>
  </si>
  <si>
    <t>Meals and Entertainment</t>
  </si>
  <si>
    <t>Office Expenses</t>
  </si>
  <si>
    <t>Rent or Lease</t>
  </si>
  <si>
    <t>Utilities:Gas and Electric</t>
  </si>
  <si>
    <t>Utilities:Telephone</t>
  </si>
  <si>
    <t>Miscellaneous</t>
  </si>
  <si>
    <t>TOTAL</t>
  </si>
  <si>
    <t>Wednesday, Jan 07, 2026 02:28:34 PM GMT-8 - Accrual Basis</t>
  </si>
  <si>
    <t>Sandbox Company_US_1</t>
  </si>
  <si>
    <t>Trial Balance</t>
  </si>
  <si>
    <t>As of December 31, 2025</t>
  </si>
</sst>
</file>

<file path=xl/styles.xml><?xml version="1.0" encoding="utf-8"?>
<styleSheet xmlns="http://schemas.openxmlformats.org/spreadsheetml/2006/main">
  <numFmts count="2">
    <numFmt numFmtId="164" formatCode="#,##0.00\ _€"/>
    <numFmt numFmtId="165" formatCode="&quot;$&quot;* #,##0.00\ _€"/>
  </numFmts>
  <fonts count="6">
    <font>
      <sz val="11.0"/>
      <color indexed="8"/>
      <name val="Calibri"/>
      <family val="2"/>
      <scheme val="minor"/>
    </font>
    <font>
      <name val="Arial"/>
      <sz val="9.0"/>
      <b val="true"/>
      <color indexed="8"/>
    </font>
    <font>
      <name val="Arial"/>
      <sz val="8.0"/>
      <b val="true"/>
      <color indexed="8"/>
    </font>
    <font>
      <name val="Arial"/>
      <sz val="8.0"/>
      <color indexed="8"/>
    </font>
    <font>
      <name val="Arial"/>
      <sz val="14.0"/>
      <b val="true"/>
      <color indexed="8"/>
    </font>
    <font>
      <name val="Arial"/>
      <sz val="10.0"/>
      <b val="true"/>
      <color indexed="8"/>
    </font>
  </fonts>
  <fills count="2">
    <fill>
      <patternFill patternType="none"/>
    </fill>
    <fill>
      <patternFill patternType="darkGray"/>
    </fill>
  </fills>
  <borders count="4">
    <border>
      <left/>
      <right/>
      <top/>
      <bottom/>
      <diagonal/>
    </border>
    <border>
      <bottom style="thin"/>
    </border>
    <border>
      <top style="thin"/>
    </border>
    <border>
      <top style="thin"/>
      <bottom>
        <color indexed="6"/>
      </bottom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>
      <alignment wrapText="true"/>
    </xf>
    <xf numFmtId="0" fontId="1" fillId="0" borderId="1" xfId="0" applyBorder="true" applyFont="true">
      <alignment wrapText="true" horizontal="center"/>
    </xf>
    <xf numFmtId="0" fontId="2" fillId="0" borderId="0" xfId="0" applyFont="true">
      <alignment wrapText="true" horizontal="left"/>
    </xf>
    <xf numFmtId="164" fontId="3" fillId="0" borderId="0" xfId="0" applyNumberFormat="true" applyFont="true">
      <alignment wrapText="true" horizontal="right"/>
    </xf>
    <xf numFmtId="164" fontId="3" fillId="0" borderId="0" xfId="0" applyNumberFormat="true" applyFont="true">
      <alignment wrapText="true"/>
    </xf>
    <xf numFmtId="165" fontId="2" fillId="0" borderId="3" xfId="0" applyBorder="true" applyNumberFormat="true" applyFont="true">
      <alignment wrapText="true" horizontal="right"/>
    </xf>
    <xf numFmtId="0" fontId="3" fillId="0" borderId="0" xfId="0" applyFont="true">
      <alignment wrapText="false" horizontal="center"/>
    </xf>
    <xf numFmtId="0" fontId="4" fillId="0" borderId="0" xfId="0" applyFont="true">
      <alignment wrapText="false" horizontal="center"/>
    </xf>
    <xf numFmtId="0" fontId="5" fillId="0" borderId="0" xfId="0" applyFont="true">
      <alignment wrapText="false" horizont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56"/>
  <sheetViews>
    <sheetView workbookViewId="0" tabSelected="true"/>
  </sheetViews>
  <sheetFormatPr defaultRowHeight="15.0"/>
  <cols>
    <col min="1" max="1" width="55.859375" customWidth="true"/>
    <col min="2" max="2" width="12.03125" customWidth="true"/>
    <col min="3" max="3" width="12.03125" customWidth="true"/>
  </cols>
  <sheetData>
    <row r="1">
      <c r="A1" s="8" t="s">
        <v>50</v>
      </c>
      <c r="B1"/>
      <c r="C1"/>
    </row>
    <row r="2">
      <c r="A2" s="8" t="s">
        <v>51</v>
      </c>
      <c r="B2"/>
      <c r="C2"/>
    </row>
    <row r="3">
      <c r="A3" s="9" t="s">
        <v>52</v>
      </c>
      <c r="B3"/>
      <c r="C3"/>
    </row>
    <row r="5">
      <c r="A5" s="1"/>
      <c r="B5" t="s" s="2">
        <v>0</v>
      </c>
      <c r="C5" t="s" s="2">
        <v>1</v>
      </c>
    </row>
    <row r="6">
      <c r="A6" t="s" s="3">
        <v>2</v>
      </c>
      <c r="B6" t="n" s="4">
        <f>1201.00</f>
        <v>0.0</v>
      </c>
      <c r="C6" s="5"/>
    </row>
    <row r="7">
      <c r="A7" t="s" s="3">
        <v>3</v>
      </c>
      <c r="B7" t="n" s="4">
        <f>800.00</f>
        <v>0.0</v>
      </c>
      <c r="C7" s="5"/>
    </row>
    <row r="8">
      <c r="A8" t="s" s="3">
        <v>4</v>
      </c>
      <c r="B8" t="n" s="4">
        <f>5281.52</f>
        <v>0.0</v>
      </c>
      <c r="C8" s="5"/>
    </row>
    <row r="9">
      <c r="A9" t="s" s="3">
        <v>5</v>
      </c>
      <c r="B9" t="n" s="4">
        <f>596.25</f>
        <v>0.0</v>
      </c>
      <c r="C9" s="5"/>
    </row>
    <row r="10">
      <c r="A10" t="s" s="3">
        <v>6</v>
      </c>
      <c r="B10" t="n" s="4">
        <f>2062.52</f>
        <v>0.0</v>
      </c>
      <c r="C10" s="5"/>
    </row>
    <row r="11">
      <c r="A11" t="s" s="3">
        <v>7</v>
      </c>
      <c r="B11" t="n" s="4">
        <f>13495.00</f>
        <v>0.0</v>
      </c>
      <c r="C11" s="5"/>
    </row>
    <row r="12">
      <c r="A12" t="s" s="3">
        <v>8</v>
      </c>
      <c r="B12" s="5"/>
      <c r="C12" t="n" s="4">
        <f>1602.67</f>
        <v>0.0</v>
      </c>
    </row>
    <row r="13">
      <c r="A13" t="s" s="3">
        <v>9</v>
      </c>
      <c r="B13" s="5"/>
      <c r="C13" t="n" s="4">
        <f>157.72</f>
        <v>0.0</v>
      </c>
    </row>
    <row r="14">
      <c r="A14" t="s" s="3">
        <v>10</v>
      </c>
      <c r="B14" s="5"/>
      <c r="C14" t="n" s="4">
        <f>0.00</f>
        <v>0.0</v>
      </c>
    </row>
    <row r="15">
      <c r="A15" t="s" s="3">
        <v>11</v>
      </c>
      <c r="B15" s="5"/>
      <c r="C15" t="n" s="4">
        <f>370.94</f>
        <v>0.0</v>
      </c>
    </row>
    <row r="16">
      <c r="A16" t="s" s="3">
        <v>12</v>
      </c>
      <c r="B16" s="5"/>
      <c r="C16" t="n" s="4">
        <f>4000.00</f>
        <v>0.0</v>
      </c>
    </row>
    <row r="17">
      <c r="A17" t="s" s="3">
        <v>13</v>
      </c>
      <c r="B17" s="5"/>
      <c r="C17" t="n" s="4">
        <f>25000.00</f>
        <v>0.0</v>
      </c>
    </row>
    <row r="18">
      <c r="A18" t="s" s="3">
        <v>14</v>
      </c>
      <c r="B18" t="n" s="4">
        <f>9337.50</f>
        <v>0.0</v>
      </c>
      <c r="C18" s="5"/>
    </row>
    <row r="19">
      <c r="A19" t="s" s="3">
        <v>15</v>
      </c>
      <c r="B19" s="5"/>
      <c r="C19" t="n" s="4">
        <f>2250.00</f>
        <v>0.0</v>
      </c>
    </row>
    <row r="20">
      <c r="A20" t="s" s="3">
        <v>16</v>
      </c>
      <c r="B20" t="n" s="4">
        <f>89.50</f>
        <v>0.0</v>
      </c>
      <c r="C20" s="5"/>
    </row>
    <row r="21">
      <c r="A21" t="s" s="3">
        <v>17</v>
      </c>
      <c r="B21" s="5"/>
      <c r="C21" t="n" s="4">
        <f>1477.50</f>
        <v>0.0</v>
      </c>
    </row>
    <row r="22">
      <c r="A22" t="s" s="3">
        <v>18</v>
      </c>
      <c r="B22" s="5"/>
      <c r="C22" t="n" s="4">
        <f>2246.50</f>
        <v>0.0</v>
      </c>
    </row>
    <row r="23">
      <c r="A23" t="s" s="3">
        <v>19</v>
      </c>
      <c r="B23" s="5"/>
      <c r="C23" t="n" s="4">
        <f>2351.97</f>
        <v>0.0</v>
      </c>
    </row>
    <row r="24">
      <c r="A24" t="s" s="3">
        <v>20</v>
      </c>
      <c r="B24" s="5"/>
      <c r="C24" t="n" s="4">
        <f>138.00</f>
        <v>0.0</v>
      </c>
    </row>
    <row r="25">
      <c r="A25" t="s" s="3">
        <v>21</v>
      </c>
      <c r="B25" s="5"/>
      <c r="C25" t="n" s="4">
        <f>250.00</f>
        <v>0.0</v>
      </c>
    </row>
    <row r="26">
      <c r="A26" t="s" s="3">
        <v>22</v>
      </c>
      <c r="B26" s="5"/>
      <c r="C26" t="n" s="4">
        <f>50.00</f>
        <v>0.0</v>
      </c>
    </row>
    <row r="27">
      <c r="A27" t="s" s="3">
        <v>23</v>
      </c>
      <c r="B27" s="5"/>
      <c r="C27" t="n" s="4">
        <f>110.00</f>
        <v>0.0</v>
      </c>
    </row>
    <row r="28">
      <c r="A28" t="s" s="3">
        <v>24</v>
      </c>
      <c r="B28" s="5"/>
      <c r="C28" t="n" s="4">
        <f>912.75</f>
        <v>0.0</v>
      </c>
    </row>
    <row r="29">
      <c r="A29" t="s" s="3">
        <v>25</v>
      </c>
      <c r="B29" s="5"/>
      <c r="C29" t="n" s="4">
        <f>503.55</f>
        <v>0.0</v>
      </c>
    </row>
    <row r="30">
      <c r="A30" t="s" s="3">
        <v>26</v>
      </c>
      <c r="B30" t="n" s="4">
        <f>405.00</f>
        <v>0.0</v>
      </c>
      <c r="C30" s="5"/>
    </row>
    <row r="31">
      <c r="A31" t="s" s="3">
        <v>27</v>
      </c>
      <c r="B31" t="n" s="4">
        <f>74.86</f>
        <v>0.0</v>
      </c>
      <c r="C31" s="5"/>
    </row>
    <row r="32">
      <c r="A32" t="s" s="3">
        <v>28</v>
      </c>
      <c r="B32" t="n" s="4">
        <f>113.96</f>
        <v>0.0</v>
      </c>
      <c r="C32" s="5"/>
    </row>
    <row r="33">
      <c r="A33" t="s" s="3">
        <v>29</v>
      </c>
      <c r="B33" t="n" s="4">
        <f>349.41</f>
        <v>0.0</v>
      </c>
      <c r="C33" s="5"/>
    </row>
    <row r="34">
      <c r="A34" t="s" s="3">
        <v>30</v>
      </c>
      <c r="B34" t="n" s="4">
        <f>112.00</f>
        <v>0.0</v>
      </c>
      <c r="C34" s="5"/>
    </row>
    <row r="35">
      <c r="A35" t="s" s="3">
        <v>31</v>
      </c>
      <c r="B35" t="n" s="4">
        <f>241.23</f>
        <v>0.0</v>
      </c>
      <c r="C35" s="5"/>
    </row>
    <row r="36">
      <c r="A36" t="s" s="3">
        <v>32</v>
      </c>
      <c r="B36" t="n" s="4">
        <f>155.07</f>
        <v>0.0</v>
      </c>
      <c r="C36" s="5"/>
    </row>
    <row r="37">
      <c r="A37" t="s" s="3">
        <v>33</v>
      </c>
      <c r="B37" t="n" s="4">
        <f>234.04</f>
        <v>0.0</v>
      </c>
      <c r="C37" s="5"/>
    </row>
    <row r="38">
      <c r="A38" t="s" s="3">
        <v>34</v>
      </c>
      <c r="B38" t="n" s="4">
        <f>353.12</f>
        <v>0.0</v>
      </c>
      <c r="C38" s="5"/>
    </row>
    <row r="39">
      <c r="A39" t="s" s="3">
        <v>35</v>
      </c>
      <c r="B39" t="n" s="4">
        <f>215.66</f>
        <v>0.0</v>
      </c>
      <c r="C39" s="5"/>
    </row>
    <row r="40">
      <c r="A40" t="s" s="3">
        <v>36</v>
      </c>
      <c r="B40" t="n" s="4">
        <f>75.00</f>
        <v>0.0</v>
      </c>
      <c r="C40" s="5"/>
    </row>
    <row r="41">
      <c r="A41" t="s" s="3">
        <v>37</v>
      </c>
      <c r="B41" t="n" s="4">
        <f>640.00</f>
        <v>0.0</v>
      </c>
      <c r="C41" s="5"/>
    </row>
    <row r="42">
      <c r="A42" t="s" s="3">
        <v>38</v>
      </c>
      <c r="B42" t="n" s="4">
        <f>55.00</f>
        <v>0.0</v>
      </c>
      <c r="C42" s="5"/>
    </row>
    <row r="43">
      <c r="A43" t="s" s="3">
        <v>39</v>
      </c>
      <c r="B43" t="n" s="4">
        <f>400.00</f>
        <v>0.0</v>
      </c>
      <c r="C43" s="5"/>
    </row>
    <row r="44">
      <c r="A44" t="s" s="3">
        <v>40</v>
      </c>
      <c r="B44" t="n" s="4">
        <f>185.00</f>
        <v>0.0</v>
      </c>
      <c r="C44" s="5"/>
    </row>
    <row r="45">
      <c r="A45" t="s" s="3">
        <v>41</v>
      </c>
      <c r="B45" t="n" s="4">
        <f>755.00</f>
        <v>0.0</v>
      </c>
      <c r="C45" s="5"/>
    </row>
    <row r="46">
      <c r="A46" t="s" s="3">
        <v>42</v>
      </c>
      <c r="B46" t="n" s="4">
        <f>28.49</f>
        <v>0.0</v>
      </c>
      <c r="C46" s="5"/>
    </row>
    <row r="47">
      <c r="A47" t="s" s="3">
        <v>43</v>
      </c>
      <c r="B47" t="n" s="4">
        <f>18.08</f>
        <v>0.0</v>
      </c>
      <c r="C47" s="5"/>
    </row>
    <row r="48">
      <c r="A48" t="s" s="3">
        <v>44</v>
      </c>
      <c r="B48" t="n" s="4">
        <f>900.00</f>
        <v>0.0</v>
      </c>
      <c r="C48" s="5"/>
    </row>
    <row r="49">
      <c r="A49" t="s" s="3">
        <v>45</v>
      </c>
      <c r="B49" t="n" s="4">
        <f>200.53</f>
        <v>0.0</v>
      </c>
      <c r="C49" s="5"/>
    </row>
    <row r="50">
      <c r="A50" t="s" s="3">
        <v>46</v>
      </c>
      <c r="B50" t="n" s="4">
        <f>130.86</f>
        <v>0.0</v>
      </c>
      <c r="C50" s="5"/>
    </row>
    <row r="51">
      <c r="A51" t="s" s="3">
        <v>47</v>
      </c>
      <c r="B51" t="n" s="4">
        <f>2916.00</f>
        <v>0.0</v>
      </c>
      <c r="C51" s="5"/>
    </row>
    <row r="52">
      <c r="A52" t="s" s="3">
        <v>48</v>
      </c>
      <c r="B52" t="n" s="6">
        <f>(((((((((((((((((((((((((((((((((((((((((((((B6)+(B7))+(B8))+(B9))+(B10))+(B11))+(B12))+(B13))+(B14))+(B15))+(B16))+(B17))+(B18))+(B19))+(B20))+(B21))+(B22))+(B23))+(B24))+(B25))+(B26))+(B27))+(B28))+(B29))+(B30))+(B31))+(B32))+(B33))+(B34))+(B35))+(B36))+(B37))+(B38))+(B39))+(B40))+(B41))+(B42))+(B43))+(B44))+(B45))+(B46))+(B47))+(B48))+(B49))+(B50))+(B51)</f>
        <v>0.0</v>
      </c>
      <c r="C52" t="n" s="6">
        <f>(((((((((((((((((((((((((((((((((((((((((((((C6)+(C7))+(C8))+(C9))+(C10))+(C11))+(C12))+(C13))+(C14))+(C15))+(C16))+(C17))+(C18))+(C19))+(C20))+(C21))+(C22))+(C23))+(C24))+(C25))+(C26))+(C27))+(C28))+(C29))+(C30))+(C31))+(C32))+(C33))+(C34))+(C35))+(C36))+(C37))+(C38))+(C39))+(C40))+(C41))+(C42))+(C43))+(C44))+(C45))+(C46))+(C47))+(C48))+(C49))+(C50))+(C51)</f>
        <v>0.0</v>
      </c>
    </row>
    <row r="53">
      <c r="A53" s="3"/>
      <c r="B53" s="5"/>
      <c r="C53" s="5"/>
    </row>
    <row r="56">
      <c r="A56" s="7" t="s">
        <v>49</v>
      </c>
      <c r="B56"/>
      <c r="C56"/>
    </row>
  </sheetData>
  <mergeCells count="4">
    <mergeCell ref="A56:C56"/>
    <mergeCell ref="A1:C1"/>
    <mergeCell ref="A2:C2"/>
    <mergeCell ref="A3:C3"/>
  </mergeCells>
  <pageMargins bottom="0.75" footer="0.3" header="0.3" left="0.7" right="0.7" top="0.75"/>
  <headerFooter>
    <oddHeader/>
    <oddFooter/>
  </headerFooter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2026-01-07T22:28:34Z</dcterms:created>
  <dc:creator>Apache POI</dc:creator>
</cp:coreProperties>
</file>