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5" i="1" l="1"/>
</calcChain>
</file>

<file path=xl/sharedStrings.xml><?xml version="1.0" encoding="utf-8"?>
<sst xmlns="http://schemas.openxmlformats.org/spreadsheetml/2006/main" count="92" uniqueCount="92">
  <si>
    <t>Expenses by Vendor Summary</t>
  </si>
  <si>
    <t>Sandbox Company_US_2</t>
  </si>
  <si>
    <t>January 1, 2023-December 31, 2025</t>
  </si>
  <si>
    <t/>
  </si>
  <si>
    <t>Bailey-Ruecker</t>
  </si>
  <si>
    <t>Bashirian and Sons</t>
  </si>
  <si>
    <t>Berge, Lueilwitz and Sanford</t>
  </si>
  <si>
    <t>Blanda LLC</t>
  </si>
  <si>
    <t>Bob's Burger Joint</t>
  </si>
  <si>
    <t>Books by Bessie</t>
  </si>
  <si>
    <t>Brosnahan Insurance Agency</t>
  </si>
  <si>
    <t>Cal Telephone</t>
  </si>
  <si>
    <t>Chin's Gas and Oil</t>
  </si>
  <si>
    <t>Cole Group</t>
  </si>
  <si>
    <t>D'Amore, Brakus and Koch</t>
  </si>
  <si>
    <t>Denesik Group</t>
  </si>
  <si>
    <t>Diego's Road Warrior Bodyshop</t>
  </si>
  <si>
    <t>Ellis Equipment Rental</t>
  </si>
  <si>
    <t>Fisher Group</t>
  </si>
  <si>
    <t>Gislason LLC</t>
  </si>
  <si>
    <t>Grimes-Schulist</t>
  </si>
  <si>
    <t>Hahn Group</t>
  </si>
  <si>
    <t>Hall Properties</t>
  </si>
  <si>
    <t>Hicks Hardware</t>
  </si>
  <si>
    <t>Hirthe-West</t>
  </si>
  <si>
    <t>Kessler Inc</t>
  </si>
  <si>
    <t>Kozey, Cruickshank and Prohaska</t>
  </si>
  <si>
    <t>Kulas Group</t>
  </si>
  <si>
    <t>Ledner, Kautzer and Turner</t>
  </si>
  <si>
    <t>Lee Advertising</t>
  </si>
  <si>
    <t>Lubowitz LLC</t>
  </si>
  <si>
    <t>Mahoney Mugs</t>
  </si>
  <si>
    <t>Marquardt-Erdman</t>
  </si>
  <si>
    <t>McClure-Thiel</t>
  </si>
  <si>
    <t>Moore Group</t>
  </si>
  <si>
    <t>Murray Group</t>
  </si>
  <si>
    <t>Norton Lumber and Building Materials</t>
  </si>
  <si>
    <t>Ortiz-Beatty</t>
  </si>
  <si>
    <t>PG&amp;E</t>
  </si>
  <si>
    <t>Pfannerstill Group</t>
  </si>
  <si>
    <t>Reynolds Group</t>
  </si>
  <si>
    <t>Robertson &amp; Associates</t>
  </si>
  <si>
    <t>Schamberger-Schamberger</t>
  </si>
  <si>
    <t>Schroeder-Carroll</t>
  </si>
  <si>
    <t>Squeaky Kleen Car Wash</t>
  </si>
  <si>
    <t>Tania's Nursery</t>
  </si>
  <si>
    <t>Tim Philip Masonry</t>
  </si>
  <si>
    <t>Tony Rondonuwu</t>
  </si>
  <si>
    <t>Trantow-Buckridge</t>
  </si>
  <si>
    <t>Ullrich-Dach</t>
  </si>
  <si>
    <t>Weber and Sons</t>
  </si>
  <si>
    <t>Yundt, Torp and Stoltenberg</t>
  </si>
  <si>
    <t>TOTAL</t>
  </si>
  <si>
    <t>Vendor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</si>
  <si>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</si>
  <si>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</si>
  <si>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</si>
  <si>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</si>
  <si>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</si>
  <si>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</si>
  <si>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</si>
  <si>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</si>
  <si>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</si>
  <si>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</si>
  <si>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</si>
  <si>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</si>
  <si>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</si>
  <si>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</si>
  <si>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</si>
  <si>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</si>
  <si>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</si>
  <si>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</si>
  <si>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</si>
  <si>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</si>
  <si>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</si>
  <si>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</si>
  <si>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</si>
  <si>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</si>
  <si>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</si>
  <si>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</si>
  <si>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</si>
  <si>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</si>
  <si>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</si>
  <si>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</si>
  <si>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</si>
  <si>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</si>
  <si>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</si>
  <si>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</si>
  <si>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</si>
  <si>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</si>
  <si>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Total</t>
  </si>
  <si>
    <t>Accrual Basis Wednesday, March 04, 2026 11:07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</si>
</sst>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59"/>
  <sheetViews>
    <sheetView tabSelected="1" workbookViewId="0" topLeftCell="A1"/>
  </sheetViews>
  <sheetFormatPr defaultColWidth="11.255" defaultRowHeight="16"/>
  <cols>
    <col min="1" max="1" width="31.625" style="28" customWidth="1"/>
    <col min="2" max="2" width="11" style="28" customWidth="1"/>
    <col min="3" max="4" width="16.125" style="28" customWidth="1"/>
    <col min="5" max="5" width="9.25" style="28" customWidth="1"/>
    <col min="6" max="6" width="7.5" style="28" customWidth="1"/>
    <col min="7" max="8" width="8.375" style="28" customWidth="1"/>
    <col min="9" max="9" width="16.125" style="28" customWidth="1"/>
    <col min="10" max="10" width="12.625" style="28" customWidth="1"/>
    <col min="11" max="11" width="16.125" style="28" customWidth="1"/>
    <col min="12" max="12" width="11.75" style="28" customWidth="1"/>
    <col min="13" max="14" width="16.125" style="28" customWidth="1"/>
    <col min="15" max="15" width="11.75" style="28" customWidth="1"/>
    <col min="16" max="18" width="16.125" style="28" customWidth="1"/>
    <col min="19" max="20" width="8.375" style="28" customWidth="1"/>
    <col min="21" max="21" width="10.125" style="28" customWidth="1"/>
    <col min="22" max="22" width="12.625" style="28" customWidth="1"/>
    <col min="23" max="23" width="11" style="28" customWidth="1"/>
    <col min="24" max="25" width="11.75" style="28" customWidth="1"/>
    <col min="26" max="26" width="11" style="28" customWidth="1"/>
    <col min="27" max="27" width="16.125" style="28" customWidth="1"/>
    <col min="28" max="28" width="9.25" style="28" customWidth="1"/>
    <col min="29" max="29" width="16.125" style="28" customWidth="1"/>
    <col min="30" max="30" width="7.5" style="28" customWidth="1"/>
    <col min="31" max="31" width="16.125" style="28" customWidth="1"/>
    <col min="32" max="32" width="8.375" style="28" customWidth="1"/>
    <col min="33" max="33" width="10.125" style="28" customWidth="1"/>
    <col min="34" max="34" width="12.625" style="28" customWidth="1"/>
    <col min="35" max="35" width="16.125" style="28" customWidth="1"/>
    <col min="36" max="37" width="11.75" style="28" customWidth="1"/>
    <col min="38" max="38" width="16.125" style="28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38" ht="16">
      <c r="A5" s="30" t="s">
        <v>53</v>
      </c>
      <c r="B5" s="30" t="s">
        <v>54</v>
      </c>
      <c r="C5" s="30" t="s">
        <v>55</v>
      </c>
      <c r="D5" s="30" t="s">
        <v>56</v>
      </c>
      <c r="E5" s="30" t="s">
        <v>57</v>
      </c>
      <c r="F5" s="30" t="s">
        <v>58</v>
      </c>
      <c r="G5" s="30" t="s">
        <v>59</v>
      </c>
      <c r="H5" s="30" t="s">
        <v>60</v>
      </c>
      <c r="I5" s="30" t="s">
        <v>61</v>
      </c>
      <c r="J5" s="30" t="s">
        <v>62</v>
      </c>
      <c r="K5" s="30" t="s">
        <v>63</v>
      </c>
      <c r="L5" s="30" t="s">
        <v>64</v>
      </c>
      <c r="M5" s="30" t="s">
        <v>65</v>
      </c>
      <c r="N5" s="30" t="s">
        <v>66</v>
      </c>
      <c r="O5" s="30" t="s">
        <v>67</v>
      </c>
      <c r="P5" s="30" t="s">
        <v>68</v>
      </c>
      <c r="Q5" s="30" t="s">
        <v>69</v>
      </c>
      <c r="R5" s="30" t="s">
        <v>70</v>
      </c>
      <c r="S5" s="30" t="s">
        <v>71</v>
      </c>
      <c r="T5" s="30" t="s">
        <v>72</v>
      </c>
      <c r="U5" s="30" t="s">
        <v>73</v>
      </c>
      <c r="V5" s="30" t="s">
        <v>74</v>
      </c>
      <c r="W5" s="30" t="s">
        <v>75</v>
      </c>
      <c r="X5" s="30" t="s">
        <v>76</v>
      </c>
      <c r="Y5" s="30" t="s">
        <v>77</v>
      </c>
      <c r="Z5" s="30" t="s">
        <v>78</v>
      </c>
      <c r="AA5" s="30" t="s">
        <v>79</v>
      </c>
      <c r="AB5" s="30" t="s">
        <v>80</v>
      </c>
      <c r="AC5" s="30" t="s">
        <v>81</v>
      </c>
      <c r="AD5" s="30" t="s">
        <v>82</v>
      </c>
      <c r="AE5" s="30" t="s">
        <v>83</v>
      </c>
      <c r="AF5" s="30" t="s">
        <v>84</v>
      </c>
      <c r="AG5" s="30" t="s">
        <v>85</v>
      </c>
      <c r="AH5" s="30" t="s">
        <v>86</v>
      </c>
      <c r="AI5" s="30" t="s">
        <v>87</v>
      </c>
      <c r="AJ5" s="30" t="s">
        <v>88</v>
      </c>
      <c r="AK5" s="30" t="s">
        <v>89</v>
      </c>
      <c r="AL5" s="30" t="s">
        <v>90</v>
      </c>
    </row>
    <row r="6" spans="1:38" ht="16">
      <c r="A6" s="26" t="s">
        <v>3</v>
      </c>
      <c r="B6" s="31">
        <v>6502.6</v>
      </c>
      <c r="C6" s="31">
        <v>5749.78</v>
      </c>
      <c r="D6" s="31">
        <v>7313.28</v>
      </c>
      <c r="E6" s="31">
        <v>4719.86</v>
      </c>
      <c r="F6" s="31">
        <v>6821.16</v>
      </c>
      <c r="G6" s="31">
        <v>8798.31</v>
      </c>
      <c r="H6" s="31">
        <v>4953.7</v>
      </c>
      <c r="I6" s="31">
        <v>11311.22</v>
      </c>
      <c r="J6" s="31">
        <v>5077.06</v>
      </c>
      <c r="K6" s="31">
        <v>7601.86</v>
      </c>
      <c r="L6" s="31">
        <v>10044.05</v>
      </c>
      <c r="M6" s="31">
        <v>8810.04</v>
      </c>
      <c r="N6" s="31">
        <v>5627.13</v>
      </c>
      <c r="O6" s="31">
        <v>6926.06</v>
      </c>
      <c r="P6" s="31">
        <v>6865.13</v>
      </c>
      <c r="Q6" s="31">
        <v>11171.97</v>
      </c>
      <c r="R6" s="31">
        <v>7471.54</v>
      </c>
      <c r="S6" s="31">
        <v>13011.85</v>
      </c>
      <c r="T6" s="31">
        <v>13659.98</v>
      </c>
      <c r="U6" s="31">
        <v>13345.52</v>
      </c>
      <c r="V6" s="31">
        <v>12191.98</v>
      </c>
      <c r="W6" s="31">
        <v>11075.1</v>
      </c>
      <c r="X6" s="31">
        <v>9586.92</v>
      </c>
      <c r="Y6" s="31">
        <v>12036.84</v>
      </c>
      <c r="Z6" s="31">
        <v>7158.53</v>
      </c>
      <c r="AA6" s="31">
        <v>8004.06</v>
      </c>
      <c r="AB6" s="31">
        <v>9614.36</v>
      </c>
      <c r="AC6" s="31">
        <v>13933.57</v>
      </c>
      <c r="AD6" s="31">
        <v>11486.29</v>
      </c>
      <c r="AE6" s="31">
        <v>8360.64</v>
      </c>
      <c r="AF6" s="31">
        <v>8099.4</v>
      </c>
      <c r="AG6" s="31">
        <v>8472.24</v>
      </c>
      <c r="AH6" s="31">
        <v>7898.75</v>
      </c>
      <c r="AI6" s="31">
        <v>17048.3</v>
      </c>
      <c r="AJ6" s="31">
        <v>11197.31</v>
      </c>
      <c r="AK6" s="31">
        <v>11547.04</v>
      </c>
      <c r="AL6" s="31">
        <f>B6+C6+D6+E6+F6+G6+H6+I6+J6+K6+L6+M6+N6+O6+P6+Q6+R6+S6+T6+U6+V6+W6+X6+Y6+Z6+AA6+AB6+AC6+AD6+AE6+AF6+AG6+AH6+AI6+AJ6+AK6</f>
        <v>333493.43</v>
      </c>
    </row>
    <row r="7" spans="1:38" ht="16">
      <c r="A7" s="26" t="s">
        <v>4</v>
      </c>
      <c r="B7" s="32"/>
      <c r="C7" s="31">
        <v>1098.24</v>
      </c>
      <c r="D7" s="31">
        <v>1168.01</v>
      </c>
      <c r="E7" s="32"/>
      <c r="F7" s="32"/>
      <c r="G7" s="31">
        <v>1793.32</v>
      </c>
      <c r="H7" s="32"/>
      <c r="I7" s="32"/>
      <c r="J7" s="32"/>
      <c r="K7" s="32"/>
      <c r="L7" s="32"/>
      <c r="M7" s="31">
        <v>1038.18</v>
      </c>
      <c r="N7" s="31">
        <v>118.92</v>
      </c>
      <c r="O7" s="32"/>
      <c r="P7" s="31">
        <v>1004.05</v>
      </c>
      <c r="Q7" s="32"/>
      <c r="R7" s="32"/>
      <c r="S7" s="31">
        <v>1681.99</v>
      </c>
      <c r="T7" s="32"/>
      <c r="U7" s="32"/>
      <c r="V7" s="32"/>
      <c r="W7" s="32"/>
      <c r="X7" s="31">
        <v>1768.85</v>
      </c>
      <c r="Y7" s="32"/>
      <c r="Z7" s="31">
        <v>128.53</v>
      </c>
      <c r="AA7" s="31">
        <v>210.98</v>
      </c>
      <c r="AB7" s="32"/>
      <c r="AC7" s="31">
        <v>756.45</v>
      </c>
      <c r="AD7" s="32"/>
      <c r="AE7" s="31">
        <v>513.29</v>
      </c>
      <c r="AF7" s="31">
        <v>717.83</v>
      </c>
      <c r="AG7" s="31">
        <v>1952.0</v>
      </c>
      <c r="AH7" s="31">
        <v>2451.04</v>
      </c>
      <c r="AI7" s="32"/>
      <c r="AJ7" s="32"/>
      <c r="AK7" s="32"/>
      <c r="AL7" s="31">
        <f>B7+C7+D7+E7+F7+G7+H7+I7+J7+K7+L7+M7+N7+O7+P7+Q7+R7+S7+T7+U7+V7+W7+X7+Y7+Z7+AA7+AB7+AC7+AD7+AE7+AF7+AG7+AH7+AI7+AJ7+AK7</f>
        <v>16401.68</v>
      </c>
    </row>
    <row r="8" spans="1:38" ht="16">
      <c r="A8" s="26" t="s">
        <v>5</v>
      </c>
      <c r="B8" s="31">
        <v>-190.93</v>
      </c>
      <c r="C8" s="31">
        <v>1099.84</v>
      </c>
      <c r="D8" s="32"/>
      <c r="E8" s="32"/>
      <c r="F8" s="32"/>
      <c r="G8" s="32"/>
      <c r="H8" s="32"/>
      <c r="I8" s="32"/>
      <c r="J8" s="31">
        <v>1389.6</v>
      </c>
      <c r="K8" s="31">
        <v>1369.77</v>
      </c>
      <c r="L8" s="32"/>
      <c r="M8" s="31">
        <v>1371.62</v>
      </c>
      <c r="N8" s="31">
        <v>1462.94</v>
      </c>
      <c r="O8" s="31">
        <v>2796.87</v>
      </c>
      <c r="P8" s="32"/>
      <c r="Q8" s="32"/>
      <c r="R8" s="32"/>
      <c r="S8" s="32"/>
      <c r="T8" s="31">
        <v>1363.2</v>
      </c>
      <c r="U8" s="31">
        <v>1289.72</v>
      </c>
      <c r="V8" s="31">
        <v>2323.73</v>
      </c>
      <c r="W8" s="32"/>
      <c r="X8" s="32"/>
      <c r="Y8" s="31">
        <v>1201.65</v>
      </c>
      <c r="Z8" s="32"/>
      <c r="AA8" s="32"/>
      <c r="AB8" s="32"/>
      <c r="AC8" s="31">
        <v>717.5</v>
      </c>
      <c r="AD8" s="32"/>
      <c r="AE8" s="32"/>
      <c r="AF8" s="31">
        <v>585.47</v>
      </c>
      <c r="AG8" s="31">
        <v>110.24</v>
      </c>
      <c r="AH8" s="32"/>
      <c r="AI8" s="31">
        <v>109.06</v>
      </c>
      <c r="AJ8" s="31">
        <v>2289.05</v>
      </c>
      <c r="AK8" s="31">
        <v>-261.39</v>
      </c>
      <c r="AL8" s="31">
        <f>B8+C8+D8+E8+F8+G8+H8+I8+J8+K8+L8+M8+N8+O8+P8+Q8+R8+S8+T8+U8+V8+W8+X8+Y8+Z8+AA8+AB8+AC8+AD8+AE8+AF8+AG8+AH8+AI8+AJ8+AK8</f>
        <v>19027.940000000002</v>
      </c>
    </row>
    <row r="9" spans="1:38" ht="16">
      <c r="A9" s="26" t="s">
        <v>6</v>
      </c>
      <c r="B9" s="32"/>
      <c r="C9" s="32"/>
      <c r="D9" s="31">
        <v>526.93</v>
      </c>
      <c r="E9" s="31">
        <v>3312.24</v>
      </c>
      <c r="F9" s="32"/>
      <c r="G9" s="32"/>
      <c r="H9" s="31">
        <v>1268.13</v>
      </c>
      <c r="I9" s="32"/>
      <c r="J9" s="31">
        <v>1526.06</v>
      </c>
      <c r="K9" s="32"/>
      <c r="L9" s="31">
        <v>1364.62</v>
      </c>
      <c r="M9" s="32"/>
      <c r="N9" s="31">
        <v>1200.7</v>
      </c>
      <c r="O9" s="32"/>
      <c r="P9" s="32"/>
      <c r="Q9" s="31">
        <v>708.48</v>
      </c>
      <c r="R9" s="31">
        <v>1274.87</v>
      </c>
      <c r="S9" s="32"/>
      <c r="T9" s="31">
        <v>2955.92</v>
      </c>
      <c r="U9" s="32"/>
      <c r="V9" s="32"/>
      <c r="W9" s="32"/>
      <c r="X9" s="31">
        <v>1460.6</v>
      </c>
      <c r="Y9" s="32"/>
      <c r="Z9" s="32"/>
      <c r="AA9" s="31">
        <v>1042.2</v>
      </c>
      <c r="AB9" s="31">
        <v>1381.83</v>
      </c>
      <c r="AC9" s="31">
        <v>998.93</v>
      </c>
      <c r="AD9" s="31">
        <v>-396.52</v>
      </c>
      <c r="AE9" s="31">
        <v>420.85</v>
      </c>
      <c r="AF9" s="31">
        <v>608.78</v>
      </c>
      <c r="AG9" s="32"/>
      <c r="AH9" s="31">
        <v>1177.05</v>
      </c>
      <c r="AI9" s="31">
        <v>548.01</v>
      </c>
      <c r="AJ9" s="32"/>
      <c r="AK9" s="32"/>
      <c r="AL9" s="31">
        <f>B9+C9+D9+E9+F9+G9+H9+I9+J9+K9+L9+M9+N9+O9+P9+Q9+R9+S9+T9+U9+V9+W9+X9+Y9+Z9+AA9+AB9+AC9+AD9+AE9+AF9+AG9+AH9+AI9+AJ9+AK9</f>
        <v>21379.679999999997</v>
      </c>
    </row>
    <row r="10" spans="1:38" ht="16">
      <c r="A10" s="26" t="s">
        <v>7</v>
      </c>
      <c r="B10" s="31">
        <v>1288.71</v>
      </c>
      <c r="C10" s="31">
        <v>1228.4</v>
      </c>
      <c r="D10" s="31">
        <v>-401.78</v>
      </c>
      <c r="E10" s="31">
        <v>2178.72</v>
      </c>
      <c r="F10" s="32"/>
      <c r="G10" s="32"/>
      <c r="H10" s="32"/>
      <c r="I10" s="32"/>
      <c r="J10" s="32"/>
      <c r="K10" s="31">
        <v>1536.89</v>
      </c>
      <c r="L10" s="32"/>
      <c r="M10" s="32"/>
      <c r="N10" s="32"/>
      <c r="O10" s="32"/>
      <c r="P10" s="32"/>
      <c r="Q10" s="31">
        <v>746.14</v>
      </c>
      <c r="R10" s="31">
        <v>777.75</v>
      </c>
      <c r="S10" s="32"/>
      <c r="T10" s="32"/>
      <c r="U10" s="32"/>
      <c r="V10" s="32"/>
      <c r="W10" s="31">
        <v>1203.78</v>
      </c>
      <c r="X10" s="31">
        <v>459.78</v>
      </c>
      <c r="Y10" s="32"/>
      <c r="Z10" s="32"/>
      <c r="AA10" s="32"/>
      <c r="AB10" s="32"/>
      <c r="AC10" s="31">
        <v>1725.22</v>
      </c>
      <c r="AD10" s="32"/>
      <c r="AE10" s="31">
        <v>1079.48</v>
      </c>
      <c r="AF10" s="32"/>
      <c r="AG10" s="31">
        <v>5390.33</v>
      </c>
      <c r="AH10" s="32"/>
      <c r="AI10" s="32"/>
      <c r="AJ10" s="31">
        <v>204.13</v>
      </c>
      <c r="AK10" s="32"/>
      <c r="AL10" s="31">
        <f>B10+C10+D10+E10+F10+G10+H10+I10+J10+K10+L10+M10+N10+O10+P10+Q10+R10+S10+T10+U10+V10+W10+X10+Y10+Z10+AA10+AB10+AC10+AD10+AE10+AF10+AG10+AH10+AI10+AJ10+AK10</f>
        <v>17417.55</v>
      </c>
    </row>
    <row r="11" spans="1:38" ht="16">
      <c r="A11" s="26" t="s">
        <v>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1">
        <v>9.52</v>
      </c>
      <c r="AL11" s="31">
        <f>B11+C11+D11+E11+F11+G11+H11+I11+J11+K11+L11+M11+N11+O11+P11+Q11+R11+S11+T11+U11+V11+W11+X11+Y11+Z11+AA11+AB11+AC11+AD11+AE11+AF11+AG11+AH11+AI11+AJ11+AK11</f>
        <v>9.52</v>
      </c>
    </row>
    <row r="12" spans="1:38" ht="16">
      <c r="A12" s="26" t="s">
        <v>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1">
        <v>55.0</v>
      </c>
      <c r="AK12" s="31">
        <v>75.0</v>
      </c>
      <c r="AL12" s="31">
        <f>B12+C12+D12+E12+F12+G12+H12+I12+J12+K12+L12+M12+N12+O12+P12+Q12+R12+S12+T12+U12+V12+W12+X12+Y12+Z12+AA12+AB12+AC12+AD12+AE12+AF12+AG12+AH12+AI12+AJ12+AK12</f>
        <v>130.0</v>
      </c>
    </row>
    <row r="13" spans="1:38" ht="16">
      <c r="A13" s="26" t="s">
        <v>10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1">
        <v>2241.23</v>
      </c>
      <c r="AL13" s="31">
        <f>B13+C13+D13+E13+F13+G13+H13+I13+J13+K13+L13+M13+N13+O13+P13+Q13+R13+S13+T13+U13+V13+W13+X13+Y13+Z13+AA13+AB13+AC13+AD13+AE13+AF13+AG13+AH13+AI13+AJ13+AK13</f>
        <v>2241.23</v>
      </c>
    </row>
    <row r="14" spans="1:38" ht="16">
      <c r="A14" s="26" t="s">
        <v>11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1">
        <v>56.5</v>
      </c>
      <c r="AK14" s="31">
        <v>74.36</v>
      </c>
      <c r="AL14" s="31">
        <f>B14+C14+D14+E14+F14+G14+H14+I14+J14+K14+L14+M14+N14+O14+P14+Q14+R14+S14+T14+U14+V14+W14+X14+Y14+Z14+AA14+AB14+AC14+AD14+AE14+AF14+AG14+AH14+AI14+AJ14+AK14</f>
        <v>130.86</v>
      </c>
    </row>
    <row r="15" spans="1:38" ht="16">
      <c r="A15" s="26" t="s">
        <v>12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1">
        <v>116.56</v>
      </c>
      <c r="AK15" s="31">
        <v>365.29</v>
      </c>
      <c r="AL15" s="31">
        <f>B15+C15+D15+E15+F15+G15+H15+I15+J15+K15+L15+M15+N15+O15+P15+Q15+R15+S15+T15+U15+V15+W15+X15+Y15+Z15+AA15+AB15+AC15+AD15+AE15+AF15+AG15+AH15+AI15+AJ15+AK15</f>
        <v>481.85</v>
      </c>
    </row>
    <row r="16" spans="1:38" ht="16">
      <c r="A16" s="26" t="s">
        <v>13</v>
      </c>
      <c r="B16" s="32"/>
      <c r="C16" s="31">
        <v>898.24</v>
      </c>
      <c r="D16" s="32"/>
      <c r="E16" s="32"/>
      <c r="F16" s="31">
        <v>624.41</v>
      </c>
      <c r="G16" s="32"/>
      <c r="H16" s="31">
        <v>2053.1</v>
      </c>
      <c r="I16" s="32"/>
      <c r="J16" s="32"/>
      <c r="K16" s="32"/>
      <c r="L16" s="31">
        <v>1134.62</v>
      </c>
      <c r="M16" s="32"/>
      <c r="N16" s="32"/>
      <c r="O16" s="31">
        <v>770.73</v>
      </c>
      <c r="P16" s="31">
        <v>1037.22</v>
      </c>
      <c r="Q16" s="32"/>
      <c r="R16" s="31">
        <v>612.52</v>
      </c>
      <c r="S16" s="32"/>
      <c r="T16" s="32"/>
      <c r="U16" s="31">
        <v>5237.63</v>
      </c>
      <c r="V16" s="32"/>
      <c r="W16" s="32"/>
      <c r="X16" s="32"/>
      <c r="Y16" s="32"/>
      <c r="Z16" s="31">
        <v>464.66</v>
      </c>
      <c r="AA16" s="32"/>
      <c r="AB16" s="31">
        <v>1513.94</v>
      </c>
      <c r="AC16" s="31">
        <v>1673.2</v>
      </c>
      <c r="AD16" s="32"/>
      <c r="AE16" s="31">
        <v>2842.64</v>
      </c>
      <c r="AF16" s="31">
        <v>1743.67</v>
      </c>
      <c r="AG16" s="31">
        <v>2034.62</v>
      </c>
      <c r="AH16" s="31">
        <v>911.26</v>
      </c>
      <c r="AI16" s="31">
        <v>-425.3</v>
      </c>
      <c r="AJ16" s="31">
        <v>1944.55</v>
      </c>
      <c r="AK16" s="31">
        <v>1849.68</v>
      </c>
      <c r="AL16" s="31">
        <f>B16+C16+D16+E16+F16+G16+H16+I16+J16+K16+L16+M16+N16+O16+P16+Q16+R16+S16+T16+U16+V16+W16+X16+Y16+Z16+AA16+AB16+AC16+AD16+AE16+AF16+AG16+AH16+AI16+AJ16+AK16</f>
        <v>26921.39</v>
      </c>
    </row>
    <row r="17" spans="1:38" ht="16">
      <c r="A17" s="26" t="s">
        <v>14</v>
      </c>
      <c r="B17" s="31">
        <v>440.19</v>
      </c>
      <c r="C17" s="31">
        <v>269.97</v>
      </c>
      <c r="D17" s="32"/>
      <c r="E17" s="31">
        <v>1813.03</v>
      </c>
      <c r="F17" s="31">
        <v>1105.4</v>
      </c>
      <c r="G17" s="32"/>
      <c r="H17" s="31">
        <v>2659.54</v>
      </c>
      <c r="I17" s="32"/>
      <c r="J17" s="32"/>
      <c r="K17" s="32"/>
      <c r="L17" s="31">
        <v>1473.61</v>
      </c>
      <c r="M17" s="31">
        <v>808.31</v>
      </c>
      <c r="N17" s="32"/>
      <c r="O17" s="32"/>
      <c r="P17" s="32"/>
      <c r="Q17" s="32"/>
      <c r="R17" s="32"/>
      <c r="S17" s="32"/>
      <c r="T17" s="32"/>
      <c r="U17" s="32"/>
      <c r="V17" s="31">
        <v>2376.74</v>
      </c>
      <c r="W17" s="32"/>
      <c r="X17" s="31">
        <v>1028.5</v>
      </c>
      <c r="Y17" s="32"/>
      <c r="Z17" s="32"/>
      <c r="AA17" s="32"/>
      <c r="AB17" s="32"/>
      <c r="AC17" s="32"/>
      <c r="AD17" s="32"/>
      <c r="AE17" s="31">
        <v>1023.02</v>
      </c>
      <c r="AF17" s="31">
        <v>-80.72</v>
      </c>
      <c r="AG17" s="32"/>
      <c r="AH17" s="32"/>
      <c r="AI17" s="32"/>
      <c r="AJ17" s="31">
        <v>638.58</v>
      </c>
      <c r="AK17" s="32"/>
      <c r="AL17" s="31">
        <f>B17+C17+D17+E17+F17+G17+H17+I17+J17+K17+L17+M17+N17+O17+P17+Q17+R17+S17+T17+U17+V17+W17+X17+Y17+Z17+AA17+AB17+AC17+AD17+AE17+AF17+AG17+AH17+AI17+AJ17+AK17</f>
        <v>13556.17</v>
      </c>
    </row>
    <row r="18" spans="1:38" ht="16">
      <c r="A18" s="26" t="s">
        <v>15</v>
      </c>
      <c r="B18" s="32"/>
      <c r="C18" s="32"/>
      <c r="D18" s="32"/>
      <c r="E18" s="32"/>
      <c r="F18" s="32"/>
      <c r="G18" s="32"/>
      <c r="H18" s="32"/>
      <c r="I18" s="32"/>
      <c r="J18" s="32"/>
      <c r="K18" s="31">
        <v>1167.94</v>
      </c>
      <c r="L18" s="32"/>
      <c r="M18" s="32"/>
      <c r="N18" s="32"/>
      <c r="O18" s="32"/>
      <c r="P18" s="32"/>
      <c r="Q18" s="32"/>
      <c r="R18" s="31">
        <v>-310.67</v>
      </c>
      <c r="S18" s="32"/>
      <c r="T18" s="31">
        <v>-109.41</v>
      </c>
      <c r="U18" s="31">
        <v>2348.49</v>
      </c>
      <c r="V18" s="32"/>
      <c r="W18" s="32"/>
      <c r="X18" s="32"/>
      <c r="Y18" s="32"/>
      <c r="Z18" s="32"/>
      <c r="AA18" s="32"/>
      <c r="AB18" s="32"/>
      <c r="AC18" s="32"/>
      <c r="AD18" s="31">
        <v>-373.6</v>
      </c>
      <c r="AE18" s="32"/>
      <c r="AF18" s="31">
        <v>180.05</v>
      </c>
      <c r="AG18" s="32"/>
      <c r="AH18" s="31">
        <v>209.67</v>
      </c>
      <c r="AI18" s="32"/>
      <c r="AJ18" s="32"/>
      <c r="AK18" s="31">
        <v>88.14</v>
      </c>
      <c r="AL18" s="31">
        <f>B18+C18+D18+E18+F18+G18+H18+I18+J18+K18+L18+M18+N18+O18+P18+Q18+R18+S18+T18+U18+V18+W18+X18+Y18+Z18+AA18+AB18+AC18+AD18+AE18+AF18+AG18+AH18+AI18+AJ18+AK18</f>
        <v>3200.61</v>
      </c>
    </row>
    <row r="19" spans="1:38" ht="16">
      <c r="A19" s="26" t="s">
        <v>16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1">
        <v>755.0</v>
      </c>
      <c r="AL19" s="31">
        <f>B19+C19+D19+E19+F19+G19+H19+I19+J19+K19+L19+M19+N19+O19+P19+Q19+R19+S19+T19+U19+V19+W19+X19+Y19+Z19+AA19+AB19+AC19+AD19+AE19+AF19+AG19+AH19+AI19+AJ19+AK19</f>
        <v>755.0</v>
      </c>
    </row>
    <row r="20" spans="1:38" ht="16">
      <c r="A20" s="26" t="s">
        <v>17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1">
        <v>112.0</v>
      </c>
      <c r="AL20" s="31">
        <f>B20+C20+D20+E20+F20+G20+H20+I20+J20+K20+L20+M20+N20+O20+P20+Q20+R20+S20+T20+U20+V20+W20+X20+Y20+Z20+AA20+AB20+AC20+AD20+AE20+AF20+AG20+AH20+AI20+AJ20+AK20</f>
        <v>112.0</v>
      </c>
    </row>
    <row r="21" spans="1:38" ht="16">
      <c r="A21" s="26" t="s">
        <v>18</v>
      </c>
      <c r="B21" s="32"/>
      <c r="C21" s="32"/>
      <c r="D21" s="32"/>
      <c r="E21" s="31">
        <v>1267.76</v>
      </c>
      <c r="F21" s="31">
        <v>728.34</v>
      </c>
      <c r="G21" s="32"/>
      <c r="H21" s="32"/>
      <c r="I21" s="32"/>
      <c r="J21" s="32"/>
      <c r="K21" s="31">
        <v>-295.54</v>
      </c>
      <c r="L21" s="31">
        <v>575.81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1">
        <v>519.32</v>
      </c>
      <c r="X21" s="32"/>
      <c r="Y21" s="32"/>
      <c r="Z21" s="32"/>
      <c r="AA21" s="32"/>
      <c r="AB21" s="32"/>
      <c r="AC21" s="32"/>
      <c r="AD21" s="32"/>
      <c r="AE21" s="32"/>
      <c r="AF21" s="31">
        <v>1272.47</v>
      </c>
      <c r="AG21" s="32"/>
      <c r="AH21" s="31">
        <v>1492.15</v>
      </c>
      <c r="AI21" s="32"/>
      <c r="AJ21" s="31">
        <v>213.53</v>
      </c>
      <c r="AK21" s="32"/>
      <c r="AL21" s="31">
        <f>B21+C21+D21+E21+F21+G21+H21+I21+J21+K21+L21+M21+N21+O21+P21+Q21+R21+S21+T21+U21+V21+W21+X21+Y21+Z21+AA21+AB21+AC21+AD21+AE21+AF21+AG21+AH21+AI21+AJ21+AK21</f>
        <v>5773.839999999999</v>
      </c>
    </row>
    <row r="22" spans="1:38" ht="16">
      <c r="A22" s="26" t="s">
        <v>19</v>
      </c>
      <c r="B22" s="32"/>
      <c r="C22" s="32"/>
      <c r="D22" s="31">
        <v>1180.44</v>
      </c>
      <c r="E22" s="31">
        <v>1636.78</v>
      </c>
      <c r="F22" s="31">
        <v>198.05</v>
      </c>
      <c r="G22" s="32"/>
      <c r="H22" s="31">
        <v>-336.12</v>
      </c>
      <c r="I22" s="32"/>
      <c r="J22" s="31">
        <v>1395.44</v>
      </c>
      <c r="K22" s="32"/>
      <c r="L22" s="31">
        <v>195.19</v>
      </c>
      <c r="M22" s="32"/>
      <c r="N22" s="31">
        <v>-89.12</v>
      </c>
      <c r="O22" s="32"/>
      <c r="P22" s="31">
        <v>1188.15</v>
      </c>
      <c r="Q22" s="32"/>
      <c r="R22" s="32"/>
      <c r="S22" s="31">
        <v>-359.38</v>
      </c>
      <c r="T22" s="31">
        <v>-445.39</v>
      </c>
      <c r="U22" s="32"/>
      <c r="V22" s="31">
        <v>637.93</v>
      </c>
      <c r="W22" s="31">
        <v>1639.19</v>
      </c>
      <c r="X22" s="31">
        <v>541.46</v>
      </c>
      <c r="Y22" s="32"/>
      <c r="Z22" s="32"/>
      <c r="AA22" s="31">
        <v>1773.02</v>
      </c>
      <c r="AB22" s="31">
        <v>1387.09</v>
      </c>
      <c r="AC22" s="32"/>
      <c r="AD22" s="32"/>
      <c r="AE22" s="32"/>
      <c r="AF22" s="31">
        <v>1305.2</v>
      </c>
      <c r="AG22" s="31">
        <v>2552.05</v>
      </c>
      <c r="AH22" s="32"/>
      <c r="AI22" s="32"/>
      <c r="AJ22" s="32"/>
      <c r="AK22" s="32"/>
      <c r="AL22" s="31">
        <f>B22+C22+D22+E22+F22+G22+H22+I22+J22+K22+L22+M22+N22+O22+P22+Q22+R22+S22+T22+U22+V22+W22+X22+Y22+Z22+AA22+AB22+AC22+AD22+AE22+AF22+AG22+AH22+AI22+AJ22+AK22</f>
        <v>14399.980000000003</v>
      </c>
    </row>
    <row r="23" spans="1:38" ht="16">
      <c r="A23" s="26" t="s">
        <v>20</v>
      </c>
      <c r="B23" s="31">
        <v>1049.85</v>
      </c>
      <c r="C23" s="32"/>
      <c r="D23" s="31">
        <v>-110.71</v>
      </c>
      <c r="E23" s="32"/>
      <c r="F23" s="32"/>
      <c r="G23" s="32"/>
      <c r="H23" s="32"/>
      <c r="I23" s="31">
        <v>2286.8</v>
      </c>
      <c r="J23" s="31">
        <v>466.01</v>
      </c>
      <c r="K23" s="32"/>
      <c r="L23" s="32"/>
      <c r="M23" s="31">
        <v>799.12</v>
      </c>
      <c r="N23" s="32"/>
      <c r="O23" s="32"/>
      <c r="P23" s="32"/>
      <c r="Q23" s="32"/>
      <c r="R23" s="31">
        <v>1550.76</v>
      </c>
      <c r="S23" s="31">
        <v>2177.66</v>
      </c>
      <c r="T23" s="32"/>
      <c r="U23" s="32"/>
      <c r="V23" s="31">
        <v>455.2</v>
      </c>
      <c r="W23" s="32"/>
      <c r="X23" s="31">
        <v>1216.19</v>
      </c>
      <c r="Y23" s="31">
        <v>1547.55</v>
      </c>
      <c r="Z23" s="31">
        <v>347.01</v>
      </c>
      <c r="AA23" s="31">
        <v>1049.89</v>
      </c>
      <c r="AB23" s="32"/>
      <c r="AC23" s="32"/>
      <c r="AD23" s="32"/>
      <c r="AE23" s="31">
        <v>-472.1</v>
      </c>
      <c r="AF23" s="31">
        <v>1260.76</v>
      </c>
      <c r="AG23" s="31">
        <v>2323.48</v>
      </c>
      <c r="AH23" s="32"/>
      <c r="AI23" s="31">
        <v>486.03</v>
      </c>
      <c r="AJ23" s="31">
        <v>1258.76</v>
      </c>
      <c r="AK23" s="31">
        <v>-57.67</v>
      </c>
      <c r="AL23" s="31">
        <f>B23+C23+D23+E23+F23+G23+H23+I23+J23+K23+L23+M23+N23+O23+P23+Q23+R23+S23+T23+U23+V23+W23+X23+Y23+Z23+AA23+AB23+AC23+AD23+AE23+AF23+AG23+AH23+AI23+AJ23+AK23</f>
        <v>17634.59</v>
      </c>
    </row>
    <row r="24" spans="1:38" ht="16">
      <c r="A24" s="26" t="s">
        <v>21</v>
      </c>
      <c r="B24" s="32"/>
      <c r="C24" s="31">
        <v>-392.24</v>
      </c>
      <c r="D24" s="32"/>
      <c r="E24" s="32"/>
      <c r="F24" s="32"/>
      <c r="G24" s="32"/>
      <c r="H24" s="32"/>
      <c r="I24" s="31">
        <v>3334.31</v>
      </c>
      <c r="J24" s="31">
        <v>2242.71</v>
      </c>
      <c r="K24" s="32"/>
      <c r="L24" s="32"/>
      <c r="M24" s="31">
        <v>129.05</v>
      </c>
      <c r="N24" s="31">
        <v>208.23</v>
      </c>
      <c r="O24" s="32"/>
      <c r="P24" s="32"/>
      <c r="Q24" s="31">
        <v>1515.45</v>
      </c>
      <c r="R24" s="31">
        <v>583.44</v>
      </c>
      <c r="S24" s="31">
        <v>4950.85</v>
      </c>
      <c r="T24" s="32"/>
      <c r="U24" s="32"/>
      <c r="V24" s="32"/>
      <c r="W24" s="32"/>
      <c r="X24" s="31">
        <v>807.29</v>
      </c>
      <c r="Y24" s="32"/>
      <c r="Z24" s="32"/>
      <c r="AA24" s="32"/>
      <c r="AB24" s="31">
        <v>1432.12</v>
      </c>
      <c r="AC24" s="31">
        <v>1861.48</v>
      </c>
      <c r="AD24" s="31">
        <v>970.02</v>
      </c>
      <c r="AE24" s="32"/>
      <c r="AF24" s="32"/>
      <c r="AG24" s="32"/>
      <c r="AH24" s="32"/>
      <c r="AI24" s="32"/>
      <c r="AJ24" s="32"/>
      <c r="AK24" s="32"/>
      <c r="AL24" s="31">
        <f>B24+C24+D24+E24+F24+G24+H24+I24+J24+K24+L24+M24+N24+O24+P24+Q24+R24+S24+T24+U24+V24+W24+X24+Y24+Z24+AA24+AB24+AC24+AD24+AE24+AF24+AG24+AH24+AI24+AJ24+AK24</f>
        <v>17642.71</v>
      </c>
    </row>
    <row r="25" spans="1:38" ht="16">
      <c r="A25" s="26" t="s">
        <v>22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1">
        <v>900.0</v>
      </c>
      <c r="AL25" s="31">
        <f>B25+C25+D25+E25+F25+G25+H25+I25+J25+K25+L25+M25+N25+O25+P25+Q25+R25+S25+T25+U25+V25+W25+X25+Y25+Z25+AA25+AB25+AC25+AD25+AE25+AF25+AG25+AH25+AI25+AJ25+AK25</f>
        <v>900.0</v>
      </c>
    </row>
    <row r="26" spans="1:38" ht="16">
      <c r="A26" s="26" t="s">
        <v>23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1">
        <v>250.0</v>
      </c>
      <c r="AK26" s="31">
        <v>328.11</v>
      </c>
      <c r="AL26" s="31">
        <f>B26+C26+D26+E26+F26+G26+H26+I26+J26+K26+L26+M26+N26+O26+P26+Q26+R26+S26+T26+U26+V26+W26+X26+Y26+Z26+AA26+AB26+AC26+AD26+AE26+AF26+AG26+AH26+AI26+AJ26+AK26</f>
        <v>578.11</v>
      </c>
    </row>
    <row r="27" spans="1:38" ht="16">
      <c r="A27" s="26" t="s">
        <v>24</v>
      </c>
      <c r="B27" s="31">
        <v>825.46</v>
      </c>
      <c r="C27" s="32"/>
      <c r="D27" s="32"/>
      <c r="E27" s="31">
        <v>-429.48</v>
      </c>
      <c r="F27" s="31">
        <v>1104.06</v>
      </c>
      <c r="G27" s="31">
        <v>1291.23</v>
      </c>
      <c r="H27" s="32"/>
      <c r="I27" s="32"/>
      <c r="J27" s="32"/>
      <c r="K27" s="31">
        <v>432.71</v>
      </c>
      <c r="L27" s="32"/>
      <c r="M27" s="32"/>
      <c r="N27" s="32"/>
      <c r="O27" s="31">
        <v>-250.47</v>
      </c>
      <c r="P27" s="31">
        <v>1533.87</v>
      </c>
      <c r="Q27" s="31">
        <v>3490.94</v>
      </c>
      <c r="R27" s="32"/>
      <c r="S27" s="32"/>
      <c r="T27" s="31">
        <v>1327.4</v>
      </c>
      <c r="U27" s="32"/>
      <c r="V27" s="31">
        <v>346.6</v>
      </c>
      <c r="W27" s="32"/>
      <c r="X27" s="32"/>
      <c r="Y27" s="32"/>
      <c r="Z27" s="32"/>
      <c r="AA27" s="32"/>
      <c r="AB27" s="32"/>
      <c r="AC27" s="32"/>
      <c r="AD27" s="31">
        <v>2464.96</v>
      </c>
      <c r="AE27" s="32"/>
      <c r="AF27" s="32"/>
      <c r="AG27" s="31">
        <v>1034.5</v>
      </c>
      <c r="AH27" s="32"/>
      <c r="AI27" s="31">
        <v>1890.21</v>
      </c>
      <c r="AJ27" s="31">
        <v>-210.03</v>
      </c>
      <c r="AK27" s="31">
        <v>425.25</v>
      </c>
      <c r="AL27" s="31">
        <f>B27+C27+D27+E27+F27+G27+H27+I27+J27+K27+L27+M27+N27+O27+P27+Q27+R27+S27+T27+U27+V27+W27+X27+Y27+Z27+AA27+AB27+AC27+AD27+AE27+AF27+AG27+AH27+AI27+AJ27+AK27</f>
        <v>15277.209999999997</v>
      </c>
    </row>
    <row r="28" spans="1:38" ht="16">
      <c r="A28" s="26" t="s">
        <v>25</v>
      </c>
      <c r="B28" s="32"/>
      <c r="C28" s="32"/>
      <c r="D28" s="31">
        <v>521.13</v>
      </c>
      <c r="E28" s="32"/>
      <c r="F28" s="31">
        <v>2226.88</v>
      </c>
      <c r="G28" s="32"/>
      <c r="H28" s="32"/>
      <c r="I28" s="32"/>
      <c r="J28" s="31">
        <v>1374.92</v>
      </c>
      <c r="K28" s="31">
        <v>1105.05</v>
      </c>
      <c r="L28" s="32"/>
      <c r="M28" s="31">
        <v>1736.01</v>
      </c>
      <c r="N28" s="32"/>
      <c r="O28" s="31">
        <v>-190.58</v>
      </c>
      <c r="P28" s="31">
        <v>375.35</v>
      </c>
      <c r="Q28" s="31">
        <v>2983.9</v>
      </c>
      <c r="R28" s="32"/>
      <c r="S28" s="31">
        <v>2296.47</v>
      </c>
      <c r="T28" s="32"/>
      <c r="U28" s="32"/>
      <c r="V28" s="31">
        <v>804.33</v>
      </c>
      <c r="W28" s="31">
        <v>1864.96</v>
      </c>
      <c r="X28" s="32"/>
      <c r="Y28" s="31">
        <v>3354.03</v>
      </c>
      <c r="Z28" s="31">
        <v>1080.85</v>
      </c>
      <c r="AA28" s="32"/>
      <c r="AB28" s="31">
        <v>958.06</v>
      </c>
      <c r="AC28" s="31">
        <v>1954.97</v>
      </c>
      <c r="AD28" s="31">
        <v>2126.91</v>
      </c>
      <c r="AE28" s="32"/>
      <c r="AF28" s="31">
        <v>1950.88</v>
      </c>
      <c r="AG28" s="32"/>
      <c r="AH28" s="32"/>
      <c r="AI28" s="32"/>
      <c r="AJ28" s="31">
        <v>1741.35</v>
      </c>
      <c r="AK28" s="32"/>
      <c r="AL28" s="31">
        <f>B28+C28+D28+E28+F28+G28+H28+I28+J28+K28+L28+M28+N28+O28+P28+Q28+R28+S28+T28+U28+V28+W28+X28+Y28+Z28+AA28+AB28+AC28+AD28+AE28+AF28+AG28+AH28+AI28+AJ28+AK28</f>
        <v>28265.47</v>
      </c>
    </row>
    <row r="29" spans="1:38" ht="16">
      <c r="A29" s="26" t="s">
        <v>26</v>
      </c>
      <c r="B29" s="31">
        <v>913.14</v>
      </c>
      <c r="C29" s="31">
        <v>1053.52</v>
      </c>
      <c r="D29" s="32"/>
      <c r="E29" s="32"/>
      <c r="F29" s="32"/>
      <c r="G29" s="32"/>
      <c r="H29" s="32"/>
      <c r="I29" s="32"/>
      <c r="J29" s="32"/>
      <c r="K29" s="31">
        <v>164.73</v>
      </c>
      <c r="L29" s="31">
        <v>1503.88</v>
      </c>
      <c r="M29" s="31">
        <v>1407.48</v>
      </c>
      <c r="N29" s="31">
        <v>739.21</v>
      </c>
      <c r="O29" s="31">
        <v>399.81</v>
      </c>
      <c r="P29" s="31">
        <v>313.66</v>
      </c>
      <c r="Q29" s="32"/>
      <c r="R29" s="32"/>
      <c r="S29" s="31">
        <v>780.96</v>
      </c>
      <c r="T29" s="31">
        <v>2024.44</v>
      </c>
      <c r="U29" s="31">
        <v>2480.76</v>
      </c>
      <c r="V29" s="31">
        <v>1857.32</v>
      </c>
      <c r="W29" s="31">
        <v>1713.68</v>
      </c>
      <c r="X29" s="31">
        <v>-65.51</v>
      </c>
      <c r="Y29" s="32"/>
      <c r="Z29" s="32"/>
      <c r="AA29" s="31">
        <v>-124.14</v>
      </c>
      <c r="AB29" s="31">
        <v>369.53</v>
      </c>
      <c r="AC29" s="32"/>
      <c r="AD29" s="31">
        <v>1797.53</v>
      </c>
      <c r="AE29" s="32"/>
      <c r="AF29" s="32"/>
      <c r="AG29" s="32"/>
      <c r="AH29" s="32"/>
      <c r="AI29" s="31">
        <v>2132.97</v>
      </c>
      <c r="AJ29" s="31">
        <v>1412.81</v>
      </c>
      <c r="AK29" s="31">
        <v>817.35</v>
      </c>
      <c r="AL29" s="31">
        <f>B29+C29+D29+E29+F29+G29+H29+I29+J29+K29+L29+M29+N29+O29+P29+Q29+R29+S29+T29+U29+V29+W29+X29+Y29+Z29+AA29+AB29+AC29+AD29+AE29+AF29+AG29+AH29+AI29+AJ29+AK29</f>
        <v>21693.13</v>
      </c>
    </row>
    <row r="30" spans="1:38" ht="16">
      <c r="A30" s="26" t="s">
        <v>27</v>
      </c>
      <c r="B30" s="32"/>
      <c r="C30" s="32"/>
      <c r="D30" s="31">
        <v>3282.94</v>
      </c>
      <c r="E30" s="32"/>
      <c r="F30" s="31">
        <v>1497.29</v>
      </c>
      <c r="G30" s="31">
        <v>1435.45</v>
      </c>
      <c r="H30" s="31">
        <v>2145.47</v>
      </c>
      <c r="I30" s="32"/>
      <c r="J30" s="32"/>
      <c r="K30" s="32"/>
      <c r="L30" s="32"/>
      <c r="M30" s="32"/>
      <c r="N30" s="31">
        <v>114.67</v>
      </c>
      <c r="O30" s="31">
        <v>560.63</v>
      </c>
      <c r="P30" s="31">
        <v>957.28</v>
      </c>
      <c r="Q30" s="32"/>
      <c r="R30" s="31">
        <v>594.99</v>
      </c>
      <c r="S30" s="31">
        <v>3970.85</v>
      </c>
      <c r="T30" s="32"/>
      <c r="U30" s="32"/>
      <c r="V30" s="32"/>
      <c r="W30" s="31">
        <v>986.51</v>
      </c>
      <c r="X30" s="31">
        <v>2300.63</v>
      </c>
      <c r="Y30" s="31">
        <v>-125.34</v>
      </c>
      <c r="Z30" s="31">
        <v>101.13</v>
      </c>
      <c r="AA30" s="31">
        <v>-286.39</v>
      </c>
      <c r="AB30" s="32"/>
      <c r="AC30" s="32"/>
      <c r="AD30" s="32"/>
      <c r="AE30" s="31">
        <v>782.89</v>
      </c>
      <c r="AF30" s="32"/>
      <c r="AG30" s="32"/>
      <c r="AH30" s="31">
        <v>912.78</v>
      </c>
      <c r="AI30" s="31">
        <v>335.66</v>
      </c>
      <c r="AJ30" s="32"/>
      <c r="AK30" s="32"/>
      <c r="AL30" s="31">
        <f>B30+C30+D30+E30+F30+G30+H30+I30+J30+K30+L30+M30+N30+O30+P30+Q30+R30+S30+T30+U30+V30+W30+X30+Y30+Z30+AA30+AB30+AC30+AD30+AE30+AF30+AG30+AH30+AI30+AJ30+AK30</f>
        <v>19567.44</v>
      </c>
    </row>
    <row r="31" spans="1:38" ht="16">
      <c r="A31" s="26" t="s">
        <v>28</v>
      </c>
      <c r="B31" s="31">
        <v>849.28</v>
      </c>
      <c r="C31" s="32"/>
      <c r="D31" s="32"/>
      <c r="E31" s="32"/>
      <c r="F31" s="32"/>
      <c r="G31" s="31">
        <v>1184.36</v>
      </c>
      <c r="H31" s="32"/>
      <c r="I31" s="32"/>
      <c r="J31" s="31">
        <v>3086.47</v>
      </c>
      <c r="K31" s="31">
        <v>2346.76</v>
      </c>
      <c r="L31" s="31">
        <v>973.97</v>
      </c>
      <c r="M31" s="32"/>
      <c r="N31" s="32"/>
      <c r="O31" s="31">
        <v>488.28</v>
      </c>
      <c r="P31" s="32"/>
      <c r="Q31" s="31">
        <v>342.7</v>
      </c>
      <c r="R31" s="32"/>
      <c r="S31" s="31">
        <v>2281.08</v>
      </c>
      <c r="T31" s="31">
        <v>773.48</v>
      </c>
      <c r="U31" s="32"/>
      <c r="V31" s="32"/>
      <c r="W31" s="32"/>
      <c r="X31" s="32"/>
      <c r="Y31" s="31">
        <v>325.26</v>
      </c>
      <c r="Z31" s="32"/>
      <c r="AA31" s="32"/>
      <c r="AB31" s="31">
        <v>568.68</v>
      </c>
      <c r="AC31" s="32"/>
      <c r="AD31" s="32"/>
      <c r="AE31" s="32"/>
      <c r="AF31" s="32"/>
      <c r="AG31" s="31">
        <v>-280.35</v>
      </c>
      <c r="AH31" s="31">
        <v>1818.41</v>
      </c>
      <c r="AI31" s="32"/>
      <c r="AJ31" s="32"/>
      <c r="AK31" s="31">
        <v>1210.1</v>
      </c>
      <c r="AL31" s="31">
        <f>B31+C31+D31+E31+F31+G31+H31+I31+J31+K31+L31+M31+N31+O31+P31+Q31+R31+S31+T31+U31+V31+W31+X31+Y31+Z31+AA31+AB31+AC31+AD31+AE31+AF31+AG31+AH31+AI31+AJ31+AK31</f>
        <v>15968.480000000001</v>
      </c>
    </row>
    <row r="32" spans="1:38" ht="16">
      <c r="A32" s="26" t="s">
        <v>29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1">
        <v>74.86</v>
      </c>
      <c r="AL32" s="31">
        <f>B32+C32+D32+E32+F32+G32+H32+I32+J32+K32+L32+M32+N32+O32+P32+Q32+R32+S32+T32+U32+V32+W32+X32+Y32+Z32+AA32+AB32+AC32+AD32+AE32+AF32+AG32+AH32+AI32+AJ32+AK32</f>
        <v>74.86</v>
      </c>
    </row>
    <row r="33" spans="1:38" ht="16">
      <c r="A33" s="26" t="s">
        <v>30</v>
      </c>
      <c r="B33" s="32"/>
      <c r="C33" s="31">
        <v>366.29</v>
      </c>
      <c r="D33" s="31">
        <v>945.53</v>
      </c>
      <c r="E33" s="32"/>
      <c r="F33" s="31">
        <v>-497.56</v>
      </c>
      <c r="G33" s="31">
        <v>1470.3</v>
      </c>
      <c r="H33" s="31">
        <v>2450.17</v>
      </c>
      <c r="I33" s="32"/>
      <c r="J33" s="32"/>
      <c r="K33" s="32"/>
      <c r="L33" s="31">
        <v>466.3</v>
      </c>
      <c r="M33" s="32"/>
      <c r="N33" s="31">
        <v>579.79</v>
      </c>
      <c r="O33" s="32"/>
      <c r="P33" s="31">
        <v>468.35</v>
      </c>
      <c r="Q33" s="32"/>
      <c r="R33" s="31">
        <v>1207.71</v>
      </c>
      <c r="S33" s="32"/>
      <c r="T33" s="32"/>
      <c r="U33" s="31">
        <v>-208.47</v>
      </c>
      <c r="V33" s="32"/>
      <c r="W33" s="32"/>
      <c r="X33" s="31">
        <v>-71.16</v>
      </c>
      <c r="Y33" s="31">
        <v>1506.17</v>
      </c>
      <c r="Z33" s="32"/>
      <c r="AA33" s="32"/>
      <c r="AB33" s="32"/>
      <c r="AC33" s="31">
        <v>2131.99</v>
      </c>
      <c r="AD33" s="32"/>
      <c r="AE33" s="31">
        <v>1322.55</v>
      </c>
      <c r="AF33" s="32"/>
      <c r="AG33" s="32"/>
      <c r="AH33" s="31">
        <v>803.18</v>
      </c>
      <c r="AI33" s="32"/>
      <c r="AJ33" s="31">
        <v>1697.46</v>
      </c>
      <c r="AK33" s="32"/>
      <c r="AL33" s="31">
        <f>B33+C33+D33+E33+F33+G33+H33+I33+J33+K33+L33+M33+N33+O33+P33+Q33+R33+S33+T33+U33+V33+W33+X33+Y33+Z33+AA33+AB33+AC33+AD33+AE33+AF33+AG33+AH33+AI33+AJ33+AK33</f>
        <v>14638.599999999999</v>
      </c>
    </row>
    <row r="34" spans="1:38" ht="16">
      <c r="A34" s="26" t="s">
        <v>31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1">
        <v>18.08</v>
      </c>
      <c r="AL34" s="31">
        <f>B34+C34+D34+E34+F34+G34+H34+I34+J34+K34+L34+M34+N34+O34+P34+Q34+R34+S34+T34+U34+V34+W34+X34+Y34+Z34+AA34+AB34+AC34+AD34+AE34+AF34+AG34+AH34+AI34+AJ34+AK34</f>
        <v>18.08</v>
      </c>
    </row>
    <row r="35" spans="1:38" ht="16">
      <c r="A35" s="26" t="s">
        <v>32</v>
      </c>
      <c r="B35" s="32"/>
      <c r="C35" s="32"/>
      <c r="D35" s="32"/>
      <c r="E35" s="31">
        <v>1064.57</v>
      </c>
      <c r="F35" s="32"/>
      <c r="G35" s="31">
        <v>1103.29</v>
      </c>
      <c r="H35" s="32"/>
      <c r="I35" s="31">
        <v>1188.99</v>
      </c>
      <c r="J35" s="32"/>
      <c r="K35" s="31">
        <v>257.67</v>
      </c>
      <c r="L35" s="32"/>
      <c r="M35" s="32"/>
      <c r="N35" s="32"/>
      <c r="O35" s="31">
        <v>187.31</v>
      </c>
      <c r="P35" s="32"/>
      <c r="Q35" s="31">
        <v>-229.0</v>
      </c>
      <c r="R35" s="31">
        <v>4174.75</v>
      </c>
      <c r="S35" s="32"/>
      <c r="T35" s="32"/>
      <c r="U35" s="32"/>
      <c r="V35" s="32"/>
      <c r="W35" s="31">
        <v>2014.93</v>
      </c>
      <c r="X35" s="32"/>
      <c r="Y35" s="31">
        <v>105.6</v>
      </c>
      <c r="Z35" s="32"/>
      <c r="AA35" s="32"/>
      <c r="AB35" s="31">
        <v>1476.75</v>
      </c>
      <c r="AC35" s="32"/>
      <c r="AD35" s="31">
        <v>2619.15</v>
      </c>
      <c r="AE35" s="32"/>
      <c r="AF35" s="32"/>
      <c r="AG35" s="32"/>
      <c r="AH35" s="31">
        <v>1645.25</v>
      </c>
      <c r="AI35" s="31">
        <v>1622.87</v>
      </c>
      <c r="AJ35" s="31">
        <v>929.58</v>
      </c>
      <c r="AK35" s="32"/>
      <c r="AL35" s="31">
        <f>B35+C35+D35+E35+F35+G35+H35+I35+J35+K35+L35+M35+N35+O35+P35+Q35+R35+S35+T35+U35+V35+W35+X35+Y35+Z35+AA35+AB35+AC35+AD35+AE35+AF35+AG35+AH35+AI35+AJ35+AK35</f>
        <v>18161.710000000003</v>
      </c>
    </row>
    <row r="36" spans="1:38" ht="16">
      <c r="A36" s="26" t="s">
        <v>33</v>
      </c>
      <c r="B36" s="32"/>
      <c r="C36" s="32"/>
      <c r="D36" s="32"/>
      <c r="E36" s="31">
        <v>1199.43</v>
      </c>
      <c r="F36" s="31">
        <v>3106.36</v>
      </c>
      <c r="G36" s="31">
        <v>4394.25</v>
      </c>
      <c r="H36" s="31">
        <v>171.62</v>
      </c>
      <c r="I36" s="32"/>
      <c r="J36" s="31">
        <v>716.79</v>
      </c>
      <c r="K36" s="32"/>
      <c r="L36" s="32"/>
      <c r="M36" s="31">
        <v>714.74</v>
      </c>
      <c r="N36" s="32"/>
      <c r="O36" s="31">
        <v>1386.2</v>
      </c>
      <c r="P36" s="32"/>
      <c r="Q36" s="32"/>
      <c r="R36" s="32"/>
      <c r="S36" s="32"/>
      <c r="T36" s="32"/>
      <c r="U36" s="31">
        <v>2295.63</v>
      </c>
      <c r="V36" s="32"/>
      <c r="W36" s="31">
        <v>720.0</v>
      </c>
      <c r="X36" s="32"/>
      <c r="Y36" s="32"/>
      <c r="Z36" s="31">
        <v>884.27</v>
      </c>
      <c r="AA36" s="32"/>
      <c r="AB36" s="31">
        <v>2062.52</v>
      </c>
      <c r="AC36" s="32"/>
      <c r="AD36" s="32"/>
      <c r="AE36" s="32"/>
      <c r="AF36" s="31">
        <v>2418.53</v>
      </c>
      <c r="AG36" s="31">
        <v>679.99</v>
      </c>
      <c r="AH36" s="31">
        <v>1010.82</v>
      </c>
      <c r="AI36" s="32"/>
      <c r="AJ36" s="32"/>
      <c r="AK36" s="32"/>
      <c r="AL36" s="31">
        <f>B36+C36+D36+E36+F36+G36+H36+I36+J36+K36+L36+M36+N36+O36+P36+Q36+R36+S36+T36+U36+V36+W36+X36+Y36+Z36+AA36+AB36+AC36+AD36+AE36+AF36+AG36+AH36+AI36+AJ36+AK36</f>
        <v>21761.15</v>
      </c>
    </row>
    <row r="37" spans="1:38" ht="16">
      <c r="A37" s="26" t="s">
        <v>34</v>
      </c>
      <c r="B37" s="32"/>
      <c r="C37" s="31">
        <v>-474.8</v>
      </c>
      <c r="D37" s="32"/>
      <c r="E37" s="32"/>
      <c r="F37" s="32"/>
      <c r="G37" s="32"/>
      <c r="H37" s="31">
        <v>814.46</v>
      </c>
      <c r="I37" s="31">
        <v>2427.75</v>
      </c>
      <c r="J37" s="32"/>
      <c r="K37" s="31">
        <v>3484.82</v>
      </c>
      <c r="L37" s="32"/>
      <c r="M37" s="31">
        <v>1475.57</v>
      </c>
      <c r="N37" s="31">
        <v>783.4</v>
      </c>
      <c r="O37" s="32"/>
      <c r="P37" s="32"/>
      <c r="Q37" s="31">
        <v>340.33</v>
      </c>
      <c r="R37" s="32"/>
      <c r="S37" s="32"/>
      <c r="T37" s="31">
        <v>188.21</v>
      </c>
      <c r="U37" s="31">
        <v>918.92</v>
      </c>
      <c r="V37" s="31">
        <v>2300.56</v>
      </c>
      <c r="W37" s="31">
        <v>1361.29</v>
      </c>
      <c r="X37" s="32"/>
      <c r="Y37" s="32"/>
      <c r="Z37" s="31">
        <v>484.52</v>
      </c>
      <c r="AA37" s="31">
        <v>1316.88</v>
      </c>
      <c r="AB37" s="32"/>
      <c r="AC37" s="32"/>
      <c r="AD37" s="32"/>
      <c r="AE37" s="32"/>
      <c r="AF37" s="31">
        <v>-123.8</v>
      </c>
      <c r="AG37" s="31">
        <v>1498.03</v>
      </c>
      <c r="AH37" s="31">
        <v>614.33</v>
      </c>
      <c r="AI37" s="32"/>
      <c r="AJ37" s="32"/>
      <c r="AK37" s="31">
        <v>339.82</v>
      </c>
      <c r="AL37" s="31">
        <f>B37+C37+D37+E37+F37+G37+H37+I37+J37+K37+L37+M37+N37+O37+P37+Q37+R37+S37+T37+U37+V37+W37+X37+Y37+Z37+AA37+AB37+AC37+AD37+AE37+AF37+AG37+AH37+AI37+AJ37+AK37</f>
        <v>17750.29</v>
      </c>
    </row>
    <row r="38" spans="1:38" ht="16">
      <c r="A38" s="26" t="s">
        <v>35</v>
      </c>
      <c r="B38" s="32"/>
      <c r="C38" s="32"/>
      <c r="D38" s="31">
        <v>645.49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1">
        <v>1207.96</v>
      </c>
      <c r="R38" s="32"/>
      <c r="S38" s="31">
        <v>3513.08</v>
      </c>
      <c r="T38" s="32"/>
      <c r="U38" s="31">
        <v>3396.22</v>
      </c>
      <c r="V38" s="31">
        <v>527.98</v>
      </c>
      <c r="W38" s="31">
        <v>1260.6</v>
      </c>
      <c r="X38" s="32"/>
      <c r="Y38" s="31">
        <v>711.53</v>
      </c>
      <c r="Z38" s="32"/>
      <c r="AA38" s="31">
        <v>447.66</v>
      </c>
      <c r="AB38" s="32"/>
      <c r="AC38" s="32"/>
      <c r="AD38" s="32"/>
      <c r="AE38" s="32"/>
      <c r="AF38" s="31">
        <v>550.62</v>
      </c>
      <c r="AG38" s="32"/>
      <c r="AH38" s="31">
        <v>558.02</v>
      </c>
      <c r="AI38" s="31">
        <v>719.85</v>
      </c>
      <c r="AJ38" s="32"/>
      <c r="AK38" s="31">
        <v>1423.23</v>
      </c>
      <c r="AL38" s="31">
        <f>B38+C38+D38+E38+F38+G38+H38+I38+J38+K38+L38+M38+N38+O38+P38+Q38+R38+S38+T38+U38+V38+W38+X38+Y38+Z38+AA38+AB38+AC38+AD38+AE38+AF38+AG38+AH38+AI38+AJ38+AK38</f>
        <v>14962.240000000002</v>
      </c>
    </row>
    <row r="39" spans="1:38" ht="16">
      <c r="A39" s="26" t="s">
        <v>36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1">
        <v>103.55</v>
      </c>
      <c r="AL39" s="31">
        <f>B39+C39+D39+E39+F39+G39+H39+I39+J39+K39+L39+M39+N39+O39+P39+Q39+R39+S39+T39+U39+V39+W39+X39+Y39+Z39+AA39+AB39+AC39+AD39+AE39+AF39+AG39+AH39+AI39+AJ39+AK39</f>
        <v>103.55</v>
      </c>
    </row>
    <row r="40" spans="1:38" ht="16">
      <c r="A40" s="26" t="s">
        <v>37</v>
      </c>
      <c r="B40" s="31">
        <v>120.55</v>
      </c>
      <c r="C40" s="32"/>
      <c r="D40" s="31">
        <v>684.13</v>
      </c>
      <c r="E40" s="32"/>
      <c r="F40" s="32"/>
      <c r="G40" s="32"/>
      <c r="H40" s="32"/>
      <c r="I40" s="31">
        <v>441.0</v>
      </c>
      <c r="J40" s="32"/>
      <c r="K40" s="32"/>
      <c r="L40" s="31">
        <v>544.03</v>
      </c>
      <c r="M40" s="32"/>
      <c r="N40" s="32"/>
      <c r="O40" s="32"/>
      <c r="P40" s="31">
        <v>-155.53</v>
      </c>
      <c r="Q40" s="32"/>
      <c r="R40" s="31">
        <v>3326.99</v>
      </c>
      <c r="S40" s="32"/>
      <c r="T40" s="31">
        <v>1187.76</v>
      </c>
      <c r="U40" s="32"/>
      <c r="V40" s="32"/>
      <c r="W40" s="32"/>
      <c r="X40" s="32"/>
      <c r="Y40" s="31">
        <v>282.24</v>
      </c>
      <c r="Z40" s="31">
        <v>758.9</v>
      </c>
      <c r="AA40" s="31">
        <v>419.87</v>
      </c>
      <c r="AB40" s="32"/>
      <c r="AC40" s="31">
        <v>273.66</v>
      </c>
      <c r="AD40" s="31">
        <v>1855.1</v>
      </c>
      <c r="AE40" s="31">
        <v>636.32</v>
      </c>
      <c r="AF40" s="31">
        <v>3274.32</v>
      </c>
      <c r="AG40" s="31">
        <v>398.27</v>
      </c>
      <c r="AH40" s="32"/>
      <c r="AI40" s="31">
        <v>493.16</v>
      </c>
      <c r="AJ40" s="31">
        <v>1158.36</v>
      </c>
      <c r="AK40" s="31">
        <v>497.2</v>
      </c>
      <c r="AL40" s="31">
        <f>B40+C40+D40+E40+F40+G40+H40+I40+J40+K40+L40+M40+N40+O40+P40+Q40+R40+S40+T40+U40+V40+W40+X40+Y40+Z40+AA40+AB40+AC40+AD40+AE40+AF40+AG40+AH40+AI40+AJ40+AK40</f>
        <v>16196.33</v>
      </c>
    </row>
    <row r="41" spans="1:38" ht="16">
      <c r="A41" s="26" t="s">
        <v>38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1">
        <v>86.44</v>
      </c>
      <c r="AK41" s="31">
        <v>114.09</v>
      </c>
      <c r="AL41" s="31">
        <f>B41+C41+D41+E41+F41+G41+H41+I41+J41+K41+L41+M41+N41+O41+P41+Q41+R41+S41+T41+U41+V41+W41+X41+Y41+Z41+AA41+AB41+AC41+AD41+AE41+AF41+AG41+AH41+AI41+AJ41+AK41</f>
        <v>200.53</v>
      </c>
    </row>
    <row r="42" spans="1:38" ht="16">
      <c r="A42" s="26" t="s">
        <v>39</v>
      </c>
      <c r="B42" s="31">
        <v>474.88</v>
      </c>
      <c r="C42" s="32"/>
      <c r="D42" s="32"/>
      <c r="E42" s="31">
        <v>888.23</v>
      </c>
      <c r="F42" s="31">
        <v>349.85</v>
      </c>
      <c r="G42" s="32"/>
      <c r="H42" s="32"/>
      <c r="I42" s="32"/>
      <c r="J42" s="32"/>
      <c r="K42" s="32"/>
      <c r="L42" s="31">
        <v>1478.38</v>
      </c>
      <c r="M42" s="32"/>
      <c r="N42" s="32"/>
      <c r="O42" s="31">
        <v>1227.81</v>
      </c>
      <c r="P42" s="31">
        <v>2186.08</v>
      </c>
      <c r="Q42" s="32"/>
      <c r="R42" s="31">
        <v>2126.45</v>
      </c>
      <c r="S42" s="32"/>
      <c r="T42" s="32"/>
      <c r="U42" s="31">
        <v>438.42</v>
      </c>
      <c r="V42" s="32"/>
      <c r="W42" s="32"/>
      <c r="X42" s="31">
        <v>529.86</v>
      </c>
      <c r="Y42" s="32"/>
      <c r="Z42" s="31">
        <v>382.03</v>
      </c>
      <c r="AA42" s="32"/>
      <c r="AB42" s="32"/>
      <c r="AC42" s="31">
        <v>433.68</v>
      </c>
      <c r="AD42" s="31">
        <v>2195.65</v>
      </c>
      <c r="AE42" s="31">
        <v>1943.94</v>
      </c>
      <c r="AF42" s="31">
        <v>1571.91</v>
      </c>
      <c r="AG42" s="32"/>
      <c r="AH42" s="32"/>
      <c r="AI42" s="31">
        <v>551.64</v>
      </c>
      <c r="AJ42" s="32"/>
      <c r="AK42" s="32"/>
      <c r="AL42" s="31">
        <f>B42+C42+D42+E42+F42+G42+H42+I42+J42+K42+L42+M42+N42+O42+P42+Q42+R42+S42+T42+U42+V42+W42+X42+Y42+Z42+AA42+AB42+AC42+AD42+AE42+AF42+AG42+AH42+AI42+AJ42+AK42</f>
        <v>16778.81</v>
      </c>
    </row>
    <row r="43" spans="1:38" ht="16">
      <c r="A43" s="26" t="s">
        <v>40</v>
      </c>
      <c r="B43" s="32"/>
      <c r="C43" s="32"/>
      <c r="D43" s="32"/>
      <c r="E43" s="32"/>
      <c r="F43" s="32"/>
      <c r="G43" s="32"/>
      <c r="H43" s="32"/>
      <c r="I43" s="32"/>
      <c r="J43" s="31">
        <v>644.95</v>
      </c>
      <c r="K43" s="32"/>
      <c r="L43" s="32"/>
      <c r="M43" s="32"/>
      <c r="N43" s="32"/>
      <c r="O43" s="32"/>
      <c r="P43" s="32"/>
      <c r="Q43" s="32"/>
      <c r="R43" s="32"/>
      <c r="S43" s="31">
        <v>1582.34</v>
      </c>
      <c r="T43" s="31">
        <v>2093.51</v>
      </c>
      <c r="U43" s="32"/>
      <c r="V43" s="32"/>
      <c r="W43" s="32"/>
      <c r="X43" s="32"/>
      <c r="Y43" s="31">
        <v>1438.42</v>
      </c>
      <c r="Z43" s="32"/>
      <c r="AA43" s="31">
        <v>1856.65</v>
      </c>
      <c r="AB43" s="32"/>
      <c r="AC43" s="32"/>
      <c r="AD43" s="31">
        <v>540.71</v>
      </c>
      <c r="AE43" s="31">
        <v>1767.47</v>
      </c>
      <c r="AF43" s="32"/>
      <c r="AG43" s="31">
        <v>2403.06</v>
      </c>
      <c r="AH43" s="31">
        <v>1144.55</v>
      </c>
      <c r="AI43" s="32"/>
      <c r="AJ43" s="32"/>
      <c r="AK43" s="31">
        <v>1827.38</v>
      </c>
      <c r="AL43" s="31">
        <f>B43+C43+D43+E43+F43+G43+H43+I43+J43+K43+L43+M43+N43+O43+P43+Q43+R43+S43+T43+U43+V43+W43+X43+Y43+Z43+AA43+AB43+AC43+AD43+AE43+AF43+AG43+AH43+AI43+AJ43+AK43</f>
        <v>15299.04</v>
      </c>
    </row>
    <row r="44" spans="1:38" ht="16">
      <c r="A44" s="26" t="s">
        <v>41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1">
        <v>300.0</v>
      </c>
      <c r="AH44" s="32"/>
      <c r="AI44" s="31">
        <v>250.0</v>
      </c>
      <c r="AJ44" s="32"/>
      <c r="AK44" s="32"/>
      <c r="AL44" s="31">
        <f>B44+C44+D44+E44+F44+G44+H44+I44+J44+K44+L44+M44+N44+O44+P44+Q44+R44+S44+T44+U44+V44+W44+X44+Y44+Z44+AA44+AB44+AC44+AD44+AE44+AF44+AG44+AH44+AI44+AJ44+AK44</f>
        <v>550.0</v>
      </c>
    </row>
    <row r="45" spans="1:38" ht="16">
      <c r="A45" s="26" t="s">
        <v>42</v>
      </c>
      <c r="B45" s="32"/>
      <c r="C45" s="32"/>
      <c r="D45" s="32"/>
      <c r="E45" s="32"/>
      <c r="F45" s="32"/>
      <c r="G45" s="32"/>
      <c r="H45" s="31">
        <v>1722.96</v>
      </c>
      <c r="I45" s="31">
        <v>1726.24</v>
      </c>
      <c r="J45" s="31">
        <v>1878.69</v>
      </c>
      <c r="K45" s="31">
        <v>3360.15</v>
      </c>
      <c r="L45" s="32"/>
      <c r="M45" s="32"/>
      <c r="N45" s="32"/>
      <c r="O45" s="31">
        <v>178.83</v>
      </c>
      <c r="P45" s="32"/>
      <c r="Q45" s="31">
        <v>1185.13</v>
      </c>
      <c r="R45" s="32"/>
      <c r="S45" s="32"/>
      <c r="T45" s="32"/>
      <c r="U45" s="32"/>
      <c r="V45" s="31">
        <v>200.53</v>
      </c>
      <c r="W45" s="31">
        <v>1511.83</v>
      </c>
      <c r="X45" s="31">
        <v>1197.1</v>
      </c>
      <c r="Y45" s="31">
        <v>-71.32</v>
      </c>
      <c r="Z45" s="31">
        <v>-136.74</v>
      </c>
      <c r="AA45" s="32"/>
      <c r="AB45" s="31">
        <v>-206.28</v>
      </c>
      <c r="AC45" s="32"/>
      <c r="AD45" s="31">
        <v>1200.76</v>
      </c>
      <c r="AE45" s="32"/>
      <c r="AF45" s="32"/>
      <c r="AG45" s="32"/>
      <c r="AH45" s="32"/>
      <c r="AI45" s="31">
        <v>981.57</v>
      </c>
      <c r="AJ45" s="32"/>
      <c r="AK45" s="31">
        <v>1264.48</v>
      </c>
      <c r="AL45" s="31">
        <f>B45+C45+D45+E45+F45+G45+H45+I45+J45+K45+L45+M45+N45+O45+P45+Q45+R45+S45+T45+U45+V45+W45+X45+Y45+Z45+AA45+AB45+AC45+AD45+AE45+AF45+AG45+AH45+AI45+AJ45+AK45</f>
        <v>15993.93</v>
      </c>
    </row>
    <row r="46" spans="1:38" ht="16">
      <c r="A46" s="26" t="s">
        <v>43</v>
      </c>
      <c r="B46" s="32"/>
      <c r="C46" s="31">
        <v>1013.39</v>
      </c>
      <c r="D46" s="32"/>
      <c r="E46" s="31">
        <v>481.92</v>
      </c>
      <c r="F46" s="32"/>
      <c r="G46" s="31">
        <v>2221.84</v>
      </c>
      <c r="H46" s="31">
        <v>1159.58</v>
      </c>
      <c r="I46" s="32"/>
      <c r="J46" s="32"/>
      <c r="K46" s="32"/>
      <c r="L46" s="32"/>
      <c r="M46" s="31">
        <v>413.07</v>
      </c>
      <c r="N46" s="32"/>
      <c r="O46" s="32"/>
      <c r="P46" s="32"/>
      <c r="Q46" s="32"/>
      <c r="R46" s="32"/>
      <c r="S46" s="32"/>
      <c r="T46" s="32"/>
      <c r="U46" s="31">
        <v>547.14</v>
      </c>
      <c r="V46" s="31">
        <v>170.29</v>
      </c>
      <c r="W46" s="32"/>
      <c r="X46" s="32"/>
      <c r="Y46" s="32"/>
      <c r="Z46" s="31">
        <v>94.89</v>
      </c>
      <c r="AA46" s="31">
        <v>1379.58</v>
      </c>
      <c r="AB46" s="32"/>
      <c r="AC46" s="32"/>
      <c r="AD46" s="31">
        <v>5060.91</v>
      </c>
      <c r="AE46" s="32"/>
      <c r="AF46" s="31">
        <v>-136.69</v>
      </c>
      <c r="AG46" s="31">
        <v>91.92</v>
      </c>
      <c r="AH46" s="31">
        <v>-217.65</v>
      </c>
      <c r="AI46" s="31">
        <v>507.92</v>
      </c>
      <c r="AJ46" s="32"/>
      <c r="AK46" s="31">
        <v>2527.15</v>
      </c>
      <c r="AL46" s="31">
        <f>B46+C46+D46+E46+F46+G46+H46+I46+J46+K46+L46+M46+N46+O46+P46+Q46+R46+S46+T46+U46+V46+W46+X46+Y46+Z46+AA46+AB46+AC46+AD46+AE46+AF46+AG46+AH46+AI46+AJ46+AK46</f>
        <v>15315.26</v>
      </c>
    </row>
    <row r="47" spans="1:38" ht="16">
      <c r="A47" s="26" t="s">
        <v>44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1">
        <v>39.98</v>
      </c>
      <c r="AL47" s="31">
        <f>B47+C47+D47+E47+F47+G47+H47+I47+J47+K47+L47+M47+N47+O47+P47+Q47+R47+S47+T47+U47+V47+W47+X47+Y47+Z47+AA47+AB47+AC47+AD47+AE47+AF47+AG47+AH47+AI47+AJ47+AK47</f>
        <v>39.98</v>
      </c>
    </row>
    <row r="48" spans="1:38" ht="16">
      <c r="A48" s="26" t="s">
        <v>45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1">
        <v>158.08</v>
      </c>
      <c r="AJ48" s="31">
        <v>197.18</v>
      </c>
      <c r="AK48" s="31">
        <v>184.35</v>
      </c>
      <c r="AL48" s="31">
        <f>B48+C48+D48+E48+F48+G48+H48+I48+J48+K48+L48+M48+N48+O48+P48+Q48+R48+S48+T48+U48+V48+W48+X48+Y48+Z48+AA48+AB48+AC48+AD48+AE48+AF48+AG48+AH48+AI48+AJ48+AK48</f>
        <v>539.61</v>
      </c>
    </row>
    <row r="49" spans="1:38" ht="16">
      <c r="A49" s="26" t="s">
        <v>46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1">
        <v>666.0</v>
      </c>
      <c r="AL49" s="31">
        <f>B49+C49+D49+E49+F49+G49+H49+I49+J49+K49+L49+M49+N49+O49+P49+Q49+R49+S49+T49+U49+V49+W49+X49+Y49+Z49+AA49+AB49+AC49+AD49+AE49+AF49+AG49+AH49+AI49+AJ49+AK49</f>
        <v>666.0</v>
      </c>
    </row>
    <row r="50" spans="1:38" ht="16">
      <c r="A50" s="26" t="s">
        <v>47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1">
        <v>100.0</v>
      </c>
      <c r="AL50" s="31">
        <f>B50+C50+D50+E50+F50+G50+H50+I50+J50+K50+L50+M50+N50+O50+P50+Q50+R50+S50+T50+U50+V50+W50+X50+Y50+Z50+AA50+AB50+AC50+AD50+AE50+AF50+AG50+AH50+AI50+AJ50+AK50</f>
        <v>100.0</v>
      </c>
    </row>
    <row r="51" spans="1:38" ht="16">
      <c r="A51" s="26" t="s">
        <v>48</v>
      </c>
      <c r="B51" s="32"/>
      <c r="C51" s="32"/>
      <c r="D51" s="31">
        <v>806.69</v>
      </c>
      <c r="E51" s="31">
        <v>839.35</v>
      </c>
      <c r="F51" s="32"/>
      <c r="G51" s="32"/>
      <c r="H51" s="32"/>
      <c r="I51" s="32"/>
      <c r="J51" s="31">
        <v>2187.59</v>
      </c>
      <c r="K51" s="31">
        <v>-414.06</v>
      </c>
      <c r="L51" s="32"/>
      <c r="M51" s="31">
        <v>1292.11</v>
      </c>
      <c r="N51" s="32"/>
      <c r="O51" s="32"/>
      <c r="P51" s="31">
        <v>362.75</v>
      </c>
      <c r="Q51" s="32"/>
      <c r="R51" s="32"/>
      <c r="S51" s="32"/>
      <c r="T51" s="32"/>
      <c r="U51" s="32"/>
      <c r="V51" s="32"/>
      <c r="W51" s="31">
        <v>1617.09</v>
      </c>
      <c r="X51" s="32"/>
      <c r="Y51" s="31">
        <v>1197.33</v>
      </c>
      <c r="Z51" s="32"/>
      <c r="AA51" s="32"/>
      <c r="AB51" s="32"/>
      <c r="AC51" s="31">
        <v>1169.33</v>
      </c>
      <c r="AD51" s="31">
        <v>638.63</v>
      </c>
      <c r="AE51" s="32"/>
      <c r="AF51" s="31">
        <v>136.62</v>
      </c>
      <c r="AG51" s="31">
        <v>376.23</v>
      </c>
      <c r="AH51" s="32"/>
      <c r="AI51" s="32"/>
      <c r="AJ51" s="31">
        <v>1232.18</v>
      </c>
      <c r="AK51" s="31">
        <v>195.19</v>
      </c>
      <c r="AL51" s="31">
        <f>B51+C51+D51+E51+F51+G51+H51+I51+J51+K51+L51+M51+N51+O51+P51+Q51+R51+S51+T51+U51+V51+W51+X51+Y51+Z51+AA51+AB51+AC51+AD51+AE51+AF51+AG51+AH51+AI51+AJ51+AK51</f>
        <v>11637.03</v>
      </c>
    </row>
    <row r="52" spans="1:38" ht="16">
      <c r="A52" s="26" t="s">
        <v>49</v>
      </c>
      <c r="B52" s="32"/>
      <c r="C52" s="31">
        <v>993.87</v>
      </c>
      <c r="D52" s="32"/>
      <c r="E52" s="31">
        <v>1813.58</v>
      </c>
      <c r="F52" s="31">
        <v>3007.96</v>
      </c>
      <c r="G52" s="32"/>
      <c r="H52" s="32"/>
      <c r="I52" s="31">
        <v>894.05</v>
      </c>
      <c r="J52" s="32"/>
      <c r="K52" s="31">
        <v>2034.94</v>
      </c>
      <c r="L52" s="31">
        <v>578.83</v>
      </c>
      <c r="M52" s="31">
        <v>1093.76</v>
      </c>
      <c r="N52" s="31">
        <v>187.55</v>
      </c>
      <c r="O52" s="32"/>
      <c r="P52" s="32"/>
      <c r="Q52" s="32"/>
      <c r="R52" s="31">
        <v>-497.03</v>
      </c>
      <c r="S52" s="32"/>
      <c r="T52" s="31">
        <v>2987.43</v>
      </c>
      <c r="U52" s="32"/>
      <c r="V52" s="32"/>
      <c r="W52" s="31">
        <v>855.26</v>
      </c>
      <c r="X52" s="31">
        <v>802.32</v>
      </c>
      <c r="Y52" s="31">
        <v>1445.45</v>
      </c>
      <c r="Z52" s="32"/>
      <c r="AA52" s="32"/>
      <c r="AB52" s="31">
        <v>1155.33</v>
      </c>
      <c r="AC52" s="31">
        <v>327.8</v>
      </c>
      <c r="AD52" s="32"/>
      <c r="AE52" s="31">
        <v>2036.26</v>
      </c>
      <c r="AF52" s="32"/>
      <c r="AG52" s="31">
        <v>856.05</v>
      </c>
      <c r="AH52" s="31">
        <v>-365.14</v>
      </c>
      <c r="AI52" s="32"/>
      <c r="AJ52" s="31">
        <v>443.98</v>
      </c>
      <c r="AK52" s="32"/>
      <c r="AL52" s="31">
        <f>B52+C52+D52+E52+F52+G52+H52+I52+J52+K52+L52+M52+N52+O52+P52+Q52+R52+S52+T52+U52+V52+W52+X52+Y52+Z52+AA52+AB52+AC52+AD52+AE52+AF52+AG52+AH52+AI52+AJ52+AK52</f>
        <v>20652.249999999996</v>
      </c>
    </row>
    <row r="53" spans="1:38" ht="16">
      <c r="A53" s="26" t="s">
        <v>50</v>
      </c>
      <c r="B53" s="31">
        <v>549.79</v>
      </c>
      <c r="C53" s="32"/>
      <c r="D53" s="31">
        <v>729.82</v>
      </c>
      <c r="E53" s="31">
        <v>735.95</v>
      </c>
      <c r="F53" s="31">
        <v>1675.49</v>
      </c>
      <c r="G53" s="31">
        <v>1476.33</v>
      </c>
      <c r="H53" s="31">
        <v>720.43</v>
      </c>
      <c r="I53" s="31">
        <v>261.56</v>
      </c>
      <c r="J53" s="32"/>
      <c r="K53" s="31">
        <v>1830.88</v>
      </c>
      <c r="L53" s="31">
        <v>1072.2</v>
      </c>
      <c r="M53" s="32"/>
      <c r="N53" s="31">
        <v>-300.7</v>
      </c>
      <c r="O53" s="32"/>
      <c r="P53" s="31">
        <v>-212.16</v>
      </c>
      <c r="Q53" s="32"/>
      <c r="R53" s="32"/>
      <c r="S53" s="31">
        <v>899.34</v>
      </c>
      <c r="T53" s="31">
        <v>1168.56</v>
      </c>
      <c r="U53" s="31">
        <v>787.7</v>
      </c>
      <c r="V53" s="32"/>
      <c r="W53" s="32"/>
      <c r="X53" s="32"/>
      <c r="Y53" s="31">
        <v>-280.19</v>
      </c>
      <c r="Z53" s="31">
        <v>2099.94</v>
      </c>
      <c r="AA53" s="32"/>
      <c r="AB53" s="32"/>
      <c r="AC53" s="31">
        <v>1257.81</v>
      </c>
      <c r="AD53" s="31">
        <v>1696.9</v>
      </c>
      <c r="AE53" s="32"/>
      <c r="AF53" s="32"/>
      <c r="AG53" s="32"/>
      <c r="AH53" s="31">
        <v>2381.49</v>
      </c>
      <c r="AI53" s="32"/>
      <c r="AJ53" s="32"/>
      <c r="AK53" s="31">
        <v>918.94</v>
      </c>
      <c r="AL53" s="31">
        <f>B53+C53+D53+E53+F53+G53+H53+I53+J53+K53+L53+M53+N53+O53+P53+Q53+R53+S53+T53+U53+V53+W53+X53+Y53+Z53+AA53+AB53+AC53+AD53+AE53+AF53+AG53+AH53+AI53+AJ53+AK53</f>
        <v>19470.079999999998</v>
      </c>
    </row>
    <row r="54" spans="1:38" ht="16">
      <c r="A54" s="26" t="s">
        <v>51</v>
      </c>
      <c r="B54" s="32"/>
      <c r="C54" s="31">
        <v>137.5</v>
      </c>
      <c r="D54" s="32"/>
      <c r="E54" s="32"/>
      <c r="F54" s="31">
        <v>-87.07</v>
      </c>
      <c r="G54" s="31">
        <v>1206.26</v>
      </c>
      <c r="H54" s="31">
        <v>1618.02</v>
      </c>
      <c r="I54" s="31">
        <v>1368.05</v>
      </c>
      <c r="J54" s="32"/>
      <c r="K54" s="32"/>
      <c r="L54" s="31">
        <v>-61.52</v>
      </c>
      <c r="M54" s="32"/>
      <c r="N54" s="32"/>
      <c r="O54" s="32"/>
      <c r="P54" s="32"/>
      <c r="Q54" s="31">
        <v>1452.76</v>
      </c>
      <c r="R54" s="32"/>
      <c r="S54" s="32"/>
      <c r="T54" s="32"/>
      <c r="U54" s="31">
        <v>-484.49</v>
      </c>
      <c r="V54" s="31">
        <v>1057.42</v>
      </c>
      <c r="W54" s="32"/>
      <c r="X54" s="32"/>
      <c r="Y54" s="32"/>
      <c r="Z54" s="31">
        <v>-290.09</v>
      </c>
      <c r="AA54" s="32"/>
      <c r="AB54" s="32"/>
      <c r="AC54" s="31">
        <v>819.28</v>
      </c>
      <c r="AD54" s="32"/>
      <c r="AE54" s="32"/>
      <c r="AF54" s="32"/>
      <c r="AG54" s="32"/>
      <c r="AH54" s="32"/>
      <c r="AI54" s="31">
        <v>1661.51</v>
      </c>
      <c r="AJ54" s="32"/>
      <c r="AK54" s="32"/>
      <c r="AL54" s="31">
        <f>B54+C54+D54+E54+F54+G54+H54+I54+J54+K54+L54+M54+N54+O54+P54+Q54+R54+S54+T54+U54+V54+W54+X54+Y54+Z54+AA54+AB54+AC54+AD54+AE54+AF54+AG54+AH54+AI54+AJ54+AK54</f>
        <v>8397.63</v>
      </c>
    </row>
    <row r="55" spans="1:38" ht="16">
      <c r="A55" s="27" t="s">
        <v>52</v>
      </c>
      <c r="B55" s="33">
        <v>12823.52</v>
      </c>
      <c r="C55" s="33">
        <v>13042.000000000002</v>
      </c>
      <c r="D55" s="33">
        <v>17291.899999999998</v>
      </c>
      <c r="E55" s="33">
        <v>21521.94</v>
      </c>
      <c r="F55" s="33">
        <v>21860.62</v>
      </c>
      <c r="G55" s="33">
        <v>26374.94</v>
      </c>
      <c r="H55" s="33">
        <v>21401.06</v>
      </c>
      <c r="I55" s="33">
        <v>25239.970000000005</v>
      </c>
      <c r="J55" s="33">
        <v>21986.29</v>
      </c>
      <c r="K55" s="33">
        <v>25984.569999999996</v>
      </c>
      <c r="L55" s="33">
        <v>21343.97</v>
      </c>
      <c r="M55" s="33">
        <v>21089.059999999998</v>
      </c>
      <c r="N55" s="33">
        <v>10632.719999999996</v>
      </c>
      <c r="O55" s="33">
        <v>14481.48</v>
      </c>
      <c r="P55" s="33">
        <v>15924.199999999999</v>
      </c>
      <c r="Q55" s="33">
        <v>24916.760000000002</v>
      </c>
      <c r="R55" s="33">
        <v>22894.070000000003</v>
      </c>
      <c r="S55" s="33">
        <v>36787.09</v>
      </c>
      <c r="T55" s="33">
        <v>29175.09</v>
      </c>
      <c r="U55" s="33">
        <v>32393.19</v>
      </c>
      <c r="V55" s="33">
        <v>25250.61</v>
      </c>
      <c r="W55" s="33">
        <v>28343.54</v>
      </c>
      <c r="X55" s="33">
        <v>21562.83</v>
      </c>
      <c r="Y55" s="33">
        <v>24675.22</v>
      </c>
      <c r="Z55" s="33">
        <v>13558.43</v>
      </c>
      <c r="AA55" s="33">
        <v>17090.260000000002</v>
      </c>
      <c r="AB55" s="33">
        <v>21713.93</v>
      </c>
      <c r="AC55" s="33">
        <v>30034.870000000003</v>
      </c>
      <c r="AD55" s="33">
        <v>33883.4</v>
      </c>
      <c r="AE55" s="33">
        <v>22257.249999999996</v>
      </c>
      <c r="AF55" s="33">
        <v>25335.3</v>
      </c>
      <c r="AG55" s="33">
        <v>30192.66</v>
      </c>
      <c r="AH55" s="33">
        <v>24445.96</v>
      </c>
      <c r="AI55" s="33">
        <v>29071.539999999994</v>
      </c>
      <c r="AJ55" s="33">
        <v>26913.28</v>
      </c>
      <c r="AK55" s="33">
        <v>30773.31</v>
      </c>
      <c r="AL55" s="34">
        <f>B55+C55+D55+E55+F55+G55+H55+I55+J55+K55+L55+M55+N55+O55+P55+Q55+R55+S55+T55+U55+V55+W55+X55+Y55+Z55+AA55+AB55+AC55+AD55+AE55+AF55+AG55+AH55+AI55+AJ55+AK55</f>
        <v>842266.8300000003</v>
      </c>
    </row>
    <row r="59" spans="1:1" ht="16">
      <c r="A59" s="35" t="s">
        <v>91</v>
      </c>
    </row>
  </sheetData>
  <mergeCells count="4">
    <mergeCell ref="A1:AL1"/>
    <mergeCell ref="A2:AL2"/>
    <mergeCell ref="A3:AL3"/>
    <mergeCell ref="A59:AL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