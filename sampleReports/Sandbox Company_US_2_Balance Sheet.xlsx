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" l="1"/>
</calcChain>
</file>

<file path=xl/sharedStrings.xml><?xml version="1.0" encoding="utf-8"?>
<sst xmlns="http://schemas.openxmlformats.org/spreadsheetml/2006/main" count="85" uniqueCount="85">
  <si>
    <t>Balance Sheet</t>
  </si>
  <si>
    <t>Sandbox Company_US_2</t>
  </si>
  <si>
    <t>As of December 31, 2025</t>
  </si>
  <si>
    <t>Assets</t>
  </si>
  <si>
    <t>Current Assets</t>
  </si>
  <si>
    <t>Bank Accounts</t>
  </si>
  <si>
    <t>Checking</t>
  </si>
  <si>
    <t>Savings</t>
  </si>
  <si>
    <t>Total for Bank Accounts</t>
  </si>
  <si>
    <t>Accounts Receivable</t>
  </si>
  <si>
    <t>Accounts Receivable (A/R)</t>
  </si>
  <si>
    <t>Total for Accounts Receivable</t>
  </si>
  <si>
    <t>Other Current Assets</t>
  </si>
  <si>
    <t>Undeposited Funds</t>
  </si>
  <si>
    <t>Total for Other Current Assets</t>
  </si>
  <si>
    <t>Total for Current Assets</t>
  </si>
  <si>
    <t>Fixed Assets</t>
  </si>
  <si>
    <t>Truck</t>
  </si>
  <si>
    <t>Original Cost</t>
  </si>
  <si>
    <t>Total for Truck</t>
  </si>
  <si>
    <t>Total for Fixed Assets</t>
  </si>
  <si>
    <t>Total for Assets</t>
  </si>
  <si>
    <t>Liabilities and Equity</t>
  </si>
  <si>
    <t>Liabilities</t>
  </si>
  <si>
    <t>Current Liabilities</t>
  </si>
  <si>
    <t>Accounts Payable</t>
  </si>
  <si>
    <t>Accounts Payable (A/P)</t>
  </si>
  <si>
    <t>Total for Accounts Payable</t>
  </si>
  <si>
    <t>Credit Cards</t>
  </si>
  <si>
    <t>Mastercard</t>
  </si>
  <si>
    <t>Total for Credit Cards</t>
  </si>
  <si>
    <t>Other Current Liabilities</t>
  </si>
  <si>
    <t>Arizona Dept. of Revenue Payable</t>
  </si>
  <si>
    <t>Board of Equalization Payable</t>
  </si>
  <si>
    <t>Loan Payable</t>
  </si>
  <si>
    <t>Total for Other Current Liabilities</t>
  </si>
  <si>
    <t>Total for Current Liabilities</t>
  </si>
  <si>
    <t>Long-term Liabilities</t>
  </si>
  <si>
    <t>Notes Payable</t>
  </si>
  <si>
    <t>Total for Long-term Liabilities</t>
  </si>
  <si>
    <t>Total for Liabilities</t>
  </si>
  <si>
    <t>Equity</t>
  </si>
  <si>
    <t>Opening Balance Equity</t>
  </si>
  <si>
    <t>Retained Earnings</t>
  </si>
  <si>
    <t>Net Income</t>
  </si>
  <si>
    <t>Total for Equity</t>
  </si>
  <si>
    <t>Total for Liabilities and Equity</t>
  </si>
  <si>
    <t>Distribution account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</si>
  <si>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</si>
  <si>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</si>
  <si>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</si>
  <si>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</si>
  <si>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</si>
  <si>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</si>
  <si>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</si>
  <si>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</si>
  <si>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</si>
  <si>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</si>
  <si>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</si>
  <si>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</si>
  <si>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</si>
  <si>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</si>
  <si>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</si>
  <si>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</si>
  <si>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</si>
  <si>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</si>
  <si>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</si>
  <si>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</si>
  <si>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</si>
  <si>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</si>
  <si>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</si>
  <si>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</si>
  <si>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</si>
  <si>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</si>
  <si>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</si>
  <si>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</si>
  <si>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</si>
  <si>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</si>
  <si>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</si>
  <si>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</si>
  <si>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</si>
  <si>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</si>
  <si>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</si>
  <si>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</si>
  <si>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Accrual Basis Wednesday, March 04, 2026 11:00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</si>
</sst>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K53"/>
  <sheetViews>
    <sheetView tabSelected="1" workbookViewId="0" topLeftCell="A1"/>
  </sheetViews>
  <sheetFormatPr defaultColWidth="11.255" defaultRowHeight="16" outlineLevelRow="4"/>
  <cols>
    <col min="1" max="1" width="30.75" style="44" customWidth="1"/>
    <col min="2" max="3" width="17" style="44" customWidth="1"/>
    <col min="4" max="5" width="16.125" style="44" customWidth="1"/>
    <col min="6" max="9" width="17" style="44" customWidth="1"/>
    <col min="10" max="12" width="16.125" style="44" customWidth="1"/>
    <col min="13" max="13" width="11.75" style="44" customWidth="1"/>
    <col min="14" max="17" width="16.125" style="44" customWidth="1"/>
    <col min="18" max="30" width="17" style="44" customWidth="1"/>
    <col min="31" max="32" width="16.125" style="44" customWidth="1"/>
    <col min="33" max="33" width="15.25" style="44" customWidth="1"/>
    <col min="34" max="37" width="16.125" style="44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37" ht="16">
      <c r="A5" s="46" t="s">
        <v>47</v>
      </c>
      <c r="B5" s="46" t="s">
        <v>48</v>
      </c>
      <c r="C5" s="46" t="s">
        <v>49</v>
      </c>
      <c r="D5" s="46" t="s">
        <v>50</v>
      </c>
      <c r="E5" s="46" t="s">
        <v>51</v>
      </c>
      <c r="F5" s="46" t="s">
        <v>52</v>
      </c>
      <c r="G5" s="46" t="s">
        <v>53</v>
      </c>
      <c r="H5" s="46" t="s">
        <v>54</v>
      </c>
      <c r="I5" s="46" t="s">
        <v>55</v>
      </c>
      <c r="J5" s="46" t="s">
        <v>56</v>
      </c>
      <c r="K5" s="46" t="s">
        <v>57</v>
      </c>
      <c r="L5" s="46" t="s">
        <v>58</v>
      </c>
      <c r="M5" s="46" t="s">
        <v>59</v>
      </c>
      <c r="N5" s="46" t="s">
        <v>60</v>
      </c>
      <c r="O5" s="46" t="s">
        <v>61</v>
      </c>
      <c r="P5" s="46" t="s">
        <v>62</v>
      </c>
      <c r="Q5" s="46" t="s">
        <v>63</v>
      </c>
      <c r="R5" s="46" t="s">
        <v>64</v>
      </c>
      <c r="S5" s="46" t="s">
        <v>65</v>
      </c>
      <c r="T5" s="46" t="s">
        <v>66</v>
      </c>
      <c r="U5" s="46" t="s">
        <v>67</v>
      </c>
      <c r="V5" s="46" t="s">
        <v>68</v>
      </c>
      <c r="W5" s="46" t="s">
        <v>69</v>
      </c>
      <c r="X5" s="46" t="s">
        <v>70</v>
      </c>
      <c r="Y5" s="46" t="s">
        <v>71</v>
      </c>
      <c r="Z5" s="46" t="s">
        <v>72</v>
      </c>
      <c r="AA5" s="46" t="s">
        <v>73</v>
      </c>
      <c r="AB5" s="46" t="s">
        <v>74</v>
      </c>
      <c r="AC5" s="46" t="s">
        <v>75</v>
      </c>
      <c r="AD5" s="46" t="s">
        <v>76</v>
      </c>
      <c r="AE5" s="46" t="s">
        <v>77</v>
      </c>
      <c r="AF5" s="46" t="s">
        <v>78</v>
      </c>
      <c r="AG5" s="46" t="s">
        <v>79</v>
      </c>
      <c r="AH5" s="46" t="s">
        <v>80</v>
      </c>
      <c r="AI5" s="46" t="s">
        <v>81</v>
      </c>
      <c r="AJ5" s="46" t="s">
        <v>82</v>
      </c>
      <c r="AK5" s="46" t="s">
        <v>83</v>
      </c>
    </row>
    <row r="6" spans="1:37" ht="16">
      <c r="A6" s="35" t="s">
        <v>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</row>
    <row r="7" spans="1:37" ht="16" outlineLevel="1">
      <c r="A7" s="36" t="s">
        <v>4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</row>
    <row r="8" spans="1:37" ht="16" outlineLevel="2">
      <c r="A8" s="37" t="s">
        <v>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1:37" ht="16" outlineLevel="3">
      <c r="A9" s="38" t="s">
        <v>6</v>
      </c>
      <c r="B9" s="48">
        <v>143851.32</v>
      </c>
      <c r="C9" s="48">
        <v>129191.99</v>
      </c>
      <c r="D9" s="48">
        <v>134945.67</v>
      </c>
      <c r="E9" s="48">
        <v>255680.19</v>
      </c>
      <c r="F9" s="48">
        <v>225470.34</v>
      </c>
      <c r="G9" s="48">
        <v>233621.57</v>
      </c>
      <c r="H9" s="48">
        <v>264898.43</v>
      </c>
      <c r="I9" s="48">
        <v>249604.78</v>
      </c>
      <c r="J9" s="48">
        <v>294506.55</v>
      </c>
      <c r="K9" s="48">
        <v>322661.2</v>
      </c>
      <c r="L9" s="48">
        <v>307393.05</v>
      </c>
      <c r="M9" s="48">
        <v>299467.17</v>
      </c>
      <c r="N9" s="48">
        <v>311922.98</v>
      </c>
      <c r="O9" s="48">
        <v>305476.06</v>
      </c>
      <c r="P9" s="48">
        <v>276000.33999999997</v>
      </c>
      <c r="Q9" s="48">
        <v>275148.25999999995</v>
      </c>
      <c r="R9" s="48">
        <v>282944.48999999993</v>
      </c>
      <c r="S9" s="48">
        <v>363798.9699999999</v>
      </c>
      <c r="T9" s="48">
        <v>397786.6699999999</v>
      </c>
      <c r="U9" s="48">
        <v>404006.3499999999</v>
      </c>
      <c r="V9" s="48">
        <v>391073.93999999994</v>
      </c>
      <c r="W9" s="48">
        <v>404240.04999999993</v>
      </c>
      <c r="X9" s="48">
        <v>402843.7799999999</v>
      </c>
      <c r="Y9" s="48">
        <v>393494.42999999993</v>
      </c>
      <c r="Z9" s="48">
        <v>394956.07999999996</v>
      </c>
      <c r="AA9" s="48">
        <v>398525.11</v>
      </c>
      <c r="AB9" s="48">
        <v>388109.57</v>
      </c>
      <c r="AC9" s="48">
        <v>394447.48</v>
      </c>
      <c r="AD9" s="48">
        <v>382636.26</v>
      </c>
      <c r="AE9" s="48">
        <v>452738.13</v>
      </c>
      <c r="AF9" s="48">
        <v>428813.54</v>
      </c>
      <c r="AG9" s="48">
        <v>462805.74</v>
      </c>
      <c r="AH9" s="48">
        <v>473734.0</v>
      </c>
      <c r="AI9" s="48">
        <v>450238.3</v>
      </c>
      <c r="AJ9" s="48">
        <v>447740.41</v>
      </c>
      <c r="AK9" s="48">
        <v>410900.99</v>
      </c>
    </row>
    <row r="10" spans="1:37" ht="16" outlineLevel="3">
      <c r="A10" s="38" t="s">
        <v>7</v>
      </c>
      <c r="B10" s="48">
        <v>460692.48000000004</v>
      </c>
      <c r="C10" s="48">
        <v>486008.39</v>
      </c>
      <c r="D10" s="48">
        <v>509304.60000000003</v>
      </c>
      <c r="E10" s="48">
        <v>520155.15</v>
      </c>
      <c r="F10" s="48">
        <v>660301.3</v>
      </c>
      <c r="G10" s="48">
        <v>698274.13</v>
      </c>
      <c r="H10" s="48">
        <v>822570.38</v>
      </c>
      <c r="I10" s="48">
        <v>906296.89</v>
      </c>
      <c r="J10" s="48">
        <v>985097.05</v>
      </c>
      <c r="K10" s="48">
        <v>1056408.4000000001</v>
      </c>
      <c r="L10" s="48">
        <v>1106897.08</v>
      </c>
      <c r="M10" s="48">
        <v>1116960.56</v>
      </c>
      <c r="N10" s="48">
        <v>1125911.6</v>
      </c>
      <c r="O10" s="48">
        <v>1155123.23</v>
      </c>
      <c r="P10" s="48">
        <v>1220456.21</v>
      </c>
      <c r="Q10" s="48">
        <v>1302049.48</v>
      </c>
      <c r="R10" s="48">
        <v>1379039.9</v>
      </c>
      <c r="S10" s="48">
        <v>1398042.5699999998</v>
      </c>
      <c r="T10" s="48">
        <v>1500737.5299999998</v>
      </c>
      <c r="U10" s="48">
        <v>1609054.7999999998</v>
      </c>
      <c r="V10" s="48">
        <v>1696932.5199999998</v>
      </c>
      <c r="W10" s="48">
        <v>1796607.3899999997</v>
      </c>
      <c r="X10" s="48">
        <v>1817476.0299999996</v>
      </c>
      <c r="Y10" s="48">
        <v>1818523.0099999995</v>
      </c>
      <c r="Z10" s="48">
        <v>1828580.9399999995</v>
      </c>
      <c r="AA10" s="48">
        <v>1847755.0299999996</v>
      </c>
      <c r="AB10" s="48">
        <v>1903020.1899999995</v>
      </c>
      <c r="AC10" s="48">
        <v>1915201.8099999996</v>
      </c>
      <c r="AD10" s="48">
        <v>2017148.8999999997</v>
      </c>
      <c r="AE10" s="48">
        <v>2117388.3999999994</v>
      </c>
      <c r="AF10" s="48">
        <v>2153094.8499999996</v>
      </c>
      <c r="AG10" s="48">
        <v>2174196.05</v>
      </c>
      <c r="AH10" s="48">
        <v>2214199.05</v>
      </c>
      <c r="AI10" s="48">
        <v>2240876.9899999998</v>
      </c>
      <c r="AJ10" s="48">
        <v>2258306.4899999998</v>
      </c>
      <c r="AK10" s="48">
        <v>2306033.0799999996</v>
      </c>
    </row>
    <row r="11" spans="1:37" ht="16" outlineLevel="2">
      <c r="A11" s="39" t="s">
        <v>8</v>
      </c>
      <c r="B11" s="49">
        <f>B8+B9+B10</f>
        <v>604543.8</v>
      </c>
      <c r="C11" s="49">
        <f>C8+C9+C10</f>
        <v>615200.38</v>
      </c>
      <c r="D11" s="49">
        <f>D8+D9+D10</f>
        <v>644250.27</v>
      </c>
      <c r="E11" s="49">
        <f>E8+E9+E10</f>
        <v>775835.3400000001</v>
      </c>
      <c r="F11" s="49">
        <f>F8+F9+F10</f>
        <v>885771.64</v>
      </c>
      <c r="G11" s="49">
        <f>G8+G9+G10</f>
        <v>931895.7</v>
      </c>
      <c r="H11" s="49">
        <f>H8+H9+H10</f>
        <v>1087468.81</v>
      </c>
      <c r="I11" s="49">
        <f>I8+I9+I10</f>
        <v>1155901.67</v>
      </c>
      <c r="J11" s="49">
        <f>J8+J9+J10</f>
        <v>1279603.6</v>
      </c>
      <c r="K11" s="49">
        <f>K8+K9+K10</f>
        <v>1379069.6</v>
      </c>
      <c r="L11" s="49">
        <f>L8+L9+L10</f>
        <v>1414290.1300000001</v>
      </c>
      <c r="M11" s="49">
        <f>M8+M9+M10</f>
        <v>1416427.73</v>
      </c>
      <c r="N11" s="49">
        <f>N8+N9+N10</f>
        <v>1437834.58</v>
      </c>
      <c r="O11" s="49">
        <f>O8+O9+O10</f>
        <v>1460599.29</v>
      </c>
      <c r="P11" s="49">
        <f>P8+P9+P10</f>
        <v>1496456.5499999998</v>
      </c>
      <c r="Q11" s="49">
        <f>Q8+Q9+Q10</f>
        <v>1577197.74</v>
      </c>
      <c r="R11" s="49">
        <f>R8+R9+R10</f>
        <v>1661984.39</v>
      </c>
      <c r="S11" s="49">
        <f>S8+S9+S10</f>
        <v>1761841.5399999998</v>
      </c>
      <c r="T11" s="49">
        <f>T8+T9+T10</f>
        <v>1898524.1999999997</v>
      </c>
      <c r="U11" s="49">
        <f>U8+U9+U10</f>
        <v>2013061.1499999997</v>
      </c>
      <c r="V11" s="49">
        <f>V8+V9+V10</f>
        <v>2088006.4599999997</v>
      </c>
      <c r="W11" s="49">
        <f>W8+W9+W10</f>
        <v>2200847.4399999995</v>
      </c>
      <c r="X11" s="49">
        <f>X8+X9+X10</f>
        <v>2220319.8099999996</v>
      </c>
      <c r="Y11" s="49">
        <f>Y8+Y9+Y10</f>
        <v>2212017.4399999995</v>
      </c>
      <c r="Z11" s="49">
        <f>Z8+Z9+Z10</f>
        <v>2223537.0199999996</v>
      </c>
      <c r="AA11" s="49">
        <f>AA8+AA9+AA10</f>
        <v>2246280.1399999997</v>
      </c>
      <c r="AB11" s="49">
        <f>AB8+AB9+AB10</f>
        <v>2291129.7599999993</v>
      </c>
      <c r="AC11" s="49">
        <f>AC8+AC9+AC10</f>
        <v>2309649.2899999996</v>
      </c>
      <c r="AD11" s="49">
        <f>AD8+AD9+AD10</f>
        <v>2399785.1599999997</v>
      </c>
      <c r="AE11" s="49">
        <f>AE8+AE9+AE10</f>
        <v>2570126.5299999993</v>
      </c>
      <c r="AF11" s="49">
        <f>AF8+AF9+AF10</f>
        <v>2581908.3899999997</v>
      </c>
      <c r="AG11" s="49">
        <f>AG8+AG9+AG10</f>
        <v>2637001.79</v>
      </c>
      <c r="AH11" s="49">
        <f>AH8+AH9+AH10</f>
        <v>2687933.05</v>
      </c>
      <c r="AI11" s="49">
        <f>AI8+AI9+AI10</f>
        <v>2691115.2899999996</v>
      </c>
      <c r="AJ11" s="49">
        <f>AJ8+AJ9+AJ10</f>
        <v>2706046.9</v>
      </c>
      <c r="AK11" s="49">
        <f>AK8+AK9+AK10</f>
        <v>2716934.0699999994</v>
      </c>
    </row>
    <row r="12" spans="1:37" ht="16" outlineLevel="2">
      <c r="A12" s="37" t="s">
        <v>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</row>
    <row r="13" spans="1:37" ht="16" outlineLevel="3">
      <c r="A13" s="38" t="s">
        <v>10</v>
      </c>
      <c r="B13" s="48">
        <v>-39463.380000000005</v>
      </c>
      <c r="C13" s="48">
        <v>-40185.020000000004</v>
      </c>
      <c r="D13" s="48">
        <v>-43250.93000000001</v>
      </c>
      <c r="E13" s="48">
        <v>-48796.72000000001</v>
      </c>
      <c r="F13" s="48">
        <v>-51865.170000000006</v>
      </c>
      <c r="G13" s="48">
        <v>-56400.770000000004</v>
      </c>
      <c r="H13" s="48">
        <v>-64243.420000000006</v>
      </c>
      <c r="I13" s="48">
        <v>-65321.490000000005</v>
      </c>
      <c r="J13" s="48">
        <v>-68999.78</v>
      </c>
      <c r="K13" s="48">
        <v>-74762.12</v>
      </c>
      <c r="L13" s="48">
        <v>-81314.5</v>
      </c>
      <c r="M13" s="48">
        <v>-85065.47</v>
      </c>
      <c r="N13" s="48">
        <v>-89118.55</v>
      </c>
      <c r="O13" s="48">
        <v>-91761.66</v>
      </c>
      <c r="P13" s="48">
        <v>-95521.17</v>
      </c>
      <c r="Q13" s="48">
        <v>-100947.06</v>
      </c>
      <c r="R13" s="48">
        <v>-105757.45999999999</v>
      </c>
      <c r="S13" s="48">
        <v>-109188.81999999999</v>
      </c>
      <c r="T13" s="48">
        <v>-116868.20999999999</v>
      </c>
      <c r="U13" s="48">
        <v>-121056.88999999998</v>
      </c>
      <c r="V13" s="48">
        <v>-125178.89999999998</v>
      </c>
      <c r="W13" s="48">
        <v>-129606.43999999997</v>
      </c>
      <c r="X13" s="48">
        <v>-134386.37999999998</v>
      </c>
      <c r="Y13" s="48">
        <v>-138390.52999999997</v>
      </c>
      <c r="Z13" s="48">
        <v>-138918.73999999996</v>
      </c>
      <c r="AA13" s="48">
        <v>-138335.60999999996</v>
      </c>
      <c r="AB13" s="48">
        <v>-142014.44999999995</v>
      </c>
      <c r="AC13" s="48">
        <v>-143009.64999999997</v>
      </c>
      <c r="AD13" s="48">
        <v>-147954.15999999997</v>
      </c>
      <c r="AE13" s="48">
        <v>-152954.58</v>
      </c>
      <c r="AF13" s="48">
        <v>-160510.09</v>
      </c>
      <c r="AG13" s="48">
        <v>-163719.36</v>
      </c>
      <c r="AH13" s="48">
        <v>-167609.15</v>
      </c>
      <c r="AI13" s="48">
        <v>-170999.78</v>
      </c>
      <c r="AJ13" s="48">
        <v>-175732.06</v>
      </c>
      <c r="AK13" s="48">
        <v>-174895.58</v>
      </c>
    </row>
    <row r="14" spans="1:37" ht="16" outlineLevel="2">
      <c r="A14" s="39" t="s">
        <v>11</v>
      </c>
      <c r="B14" s="49">
        <f>B12+B13</f>
        <v>-39463.380000000005</v>
      </c>
      <c r="C14" s="49">
        <f>C12+C13</f>
        <v>-40185.020000000004</v>
      </c>
      <c r="D14" s="49">
        <f>D12+D13</f>
        <v>-43250.93000000001</v>
      </c>
      <c r="E14" s="49">
        <f>E12+E13</f>
        <v>-48796.72000000001</v>
      </c>
      <c r="F14" s="49">
        <f>F12+F13</f>
        <v>-51865.170000000006</v>
      </c>
      <c r="G14" s="49">
        <f>G12+G13</f>
        <v>-56400.770000000004</v>
      </c>
      <c r="H14" s="49">
        <f>H12+H13</f>
        <v>-64243.420000000006</v>
      </c>
      <c r="I14" s="49">
        <f>I12+I13</f>
        <v>-65321.490000000005</v>
      </c>
      <c r="J14" s="49">
        <f>J12+J13</f>
        <v>-68999.78</v>
      </c>
      <c r="K14" s="49">
        <f>K12+K13</f>
        <v>-74762.12</v>
      </c>
      <c r="L14" s="49">
        <f>L12+L13</f>
        <v>-81314.5</v>
      </c>
      <c r="M14" s="49">
        <f>M12+M13</f>
        <v>-85065.47</v>
      </c>
      <c r="N14" s="49">
        <f>N12+N13</f>
        <v>-89118.55</v>
      </c>
      <c r="O14" s="49">
        <f>O12+O13</f>
        <v>-91761.66</v>
      </c>
      <c r="P14" s="49">
        <f>P12+P13</f>
        <v>-95521.17</v>
      </c>
      <c r="Q14" s="49">
        <f>Q12+Q13</f>
        <v>-100947.06</v>
      </c>
      <c r="R14" s="49">
        <f>R12+R13</f>
        <v>-105757.45999999999</v>
      </c>
      <c r="S14" s="49">
        <f>S12+S13</f>
        <v>-109188.81999999999</v>
      </c>
      <c r="T14" s="49">
        <f>T12+T13</f>
        <v>-116868.20999999999</v>
      </c>
      <c r="U14" s="49">
        <f>U12+U13</f>
        <v>-121056.88999999998</v>
      </c>
      <c r="V14" s="49">
        <f>V12+V13</f>
        <v>-125178.89999999998</v>
      </c>
      <c r="W14" s="49">
        <f>W12+W13</f>
        <v>-129606.43999999997</v>
      </c>
      <c r="X14" s="49">
        <f>X12+X13</f>
        <v>-134386.37999999998</v>
      </c>
      <c r="Y14" s="49">
        <f>Y12+Y13</f>
        <v>-138390.52999999997</v>
      </c>
      <c r="Z14" s="49">
        <f>Z12+Z13</f>
        <v>-138918.73999999996</v>
      </c>
      <c r="AA14" s="49">
        <f>AA12+AA13</f>
        <v>-138335.60999999996</v>
      </c>
      <c r="AB14" s="49">
        <f>AB12+AB13</f>
        <v>-142014.44999999995</v>
      </c>
      <c r="AC14" s="49">
        <f>AC12+AC13</f>
        <v>-143009.64999999997</v>
      </c>
      <c r="AD14" s="49">
        <f>AD12+AD13</f>
        <v>-147954.15999999997</v>
      </c>
      <c r="AE14" s="49">
        <f>AE12+AE13</f>
        <v>-152954.58</v>
      </c>
      <c r="AF14" s="49">
        <f>AF12+AF13</f>
        <v>-160510.09</v>
      </c>
      <c r="AG14" s="49">
        <f>AG12+AG13</f>
        <v>-163719.36</v>
      </c>
      <c r="AH14" s="49">
        <f>AH12+AH13</f>
        <v>-167609.15</v>
      </c>
      <c r="AI14" s="49">
        <f>AI12+AI13</f>
        <v>-170999.78</v>
      </c>
      <c r="AJ14" s="49">
        <f>AJ12+AJ13</f>
        <v>-175732.06</v>
      </c>
      <c r="AK14" s="49">
        <f>AK12+AK13</f>
        <v>-174895.58</v>
      </c>
    </row>
    <row r="15" spans="1:37" ht="16" outlineLevel="2">
      <c r="A15" s="37" t="s">
        <v>12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</row>
    <row r="16" spans="1:37" ht="16" outlineLevel="3">
      <c r="A16" s="38" t="s">
        <v>13</v>
      </c>
      <c r="B16" s="48">
        <v>76488.37999999999</v>
      </c>
      <c r="C16" s="48">
        <v>80275.01999999999</v>
      </c>
      <c r="D16" s="48">
        <v>86245.93</v>
      </c>
      <c r="E16" s="48">
        <v>93271.71999999999</v>
      </c>
      <c r="F16" s="48">
        <v>98470.16999999998</v>
      </c>
      <c r="G16" s="48">
        <v>105425.76999999999</v>
      </c>
      <c r="H16" s="48">
        <v>115178.41999999998</v>
      </c>
      <c r="I16" s="48">
        <v>122286.48999999999</v>
      </c>
      <c r="J16" s="48">
        <v>130009.77999999998</v>
      </c>
      <c r="K16" s="48">
        <v>138712.12</v>
      </c>
      <c r="L16" s="48">
        <v>147759.5</v>
      </c>
      <c r="M16" s="48">
        <v>155545.47</v>
      </c>
      <c r="N16" s="48">
        <v>162948.55</v>
      </c>
      <c r="O16" s="48">
        <v>168561.65999999997</v>
      </c>
      <c r="P16" s="48">
        <v>175346.16999999998</v>
      </c>
      <c r="Q16" s="48">
        <v>183107.06</v>
      </c>
      <c r="R16" s="48">
        <v>190042.46</v>
      </c>
      <c r="S16" s="48">
        <v>196958.81999999998</v>
      </c>
      <c r="T16" s="48">
        <v>206518.20999999996</v>
      </c>
      <c r="U16" s="48">
        <v>213276.88999999996</v>
      </c>
      <c r="V16" s="48">
        <v>222013.89999999997</v>
      </c>
      <c r="W16" s="48">
        <v>230436.43999999997</v>
      </c>
      <c r="X16" s="48">
        <v>239536.37999999998</v>
      </c>
      <c r="Y16" s="48">
        <v>246285.52999999997</v>
      </c>
      <c r="Z16" s="48">
        <v>250428.73999999996</v>
      </c>
      <c r="AA16" s="48">
        <v>255800.60999999996</v>
      </c>
      <c r="AB16" s="48">
        <v>262909.44999999995</v>
      </c>
      <c r="AC16" s="48">
        <v>269779.64999999997</v>
      </c>
      <c r="AD16" s="48">
        <v>279284.16</v>
      </c>
      <c r="AE16" s="48">
        <v>287184.57999999996</v>
      </c>
      <c r="AF16" s="48">
        <v>297470.08999999997</v>
      </c>
      <c r="AG16" s="48">
        <v>304534.36</v>
      </c>
      <c r="AH16" s="48">
        <v>313040.89999999997</v>
      </c>
      <c r="AI16" s="48">
        <v>320299.52999999997</v>
      </c>
      <c r="AJ16" s="48">
        <v>329694.61</v>
      </c>
      <c r="AK16" s="48">
        <v>338138.92</v>
      </c>
    </row>
    <row r="17" spans="1:37" ht="16" outlineLevel="2">
      <c r="A17" s="39" t="s">
        <v>14</v>
      </c>
      <c r="B17" s="49">
        <f>B15+B16</f>
        <v>76488.37999999999</v>
      </c>
      <c r="C17" s="49">
        <f>C15+C16</f>
        <v>80275.01999999999</v>
      </c>
      <c r="D17" s="49">
        <f>D15+D16</f>
        <v>86245.93</v>
      </c>
      <c r="E17" s="49">
        <f>E15+E16</f>
        <v>93271.71999999999</v>
      </c>
      <c r="F17" s="49">
        <f>F15+F16</f>
        <v>98470.16999999998</v>
      </c>
      <c r="G17" s="49">
        <f>G15+G16</f>
        <v>105425.76999999999</v>
      </c>
      <c r="H17" s="49">
        <f>H15+H16</f>
        <v>115178.41999999998</v>
      </c>
      <c r="I17" s="49">
        <f>I15+I16</f>
        <v>122286.48999999999</v>
      </c>
      <c r="J17" s="49">
        <f>J15+J16</f>
        <v>130009.77999999998</v>
      </c>
      <c r="K17" s="49">
        <f>K15+K16</f>
        <v>138712.12</v>
      </c>
      <c r="L17" s="49">
        <f>L15+L16</f>
        <v>147759.5</v>
      </c>
      <c r="M17" s="49">
        <f>M15+M16</f>
        <v>155545.47</v>
      </c>
      <c r="N17" s="49">
        <f>N15+N16</f>
        <v>162948.55</v>
      </c>
      <c r="O17" s="49">
        <f>O15+O16</f>
        <v>168561.65999999997</v>
      </c>
      <c r="P17" s="49">
        <f>P15+P16</f>
        <v>175346.16999999998</v>
      </c>
      <c r="Q17" s="49">
        <f>Q15+Q16</f>
        <v>183107.06</v>
      </c>
      <c r="R17" s="49">
        <f>R15+R16</f>
        <v>190042.46</v>
      </c>
      <c r="S17" s="49">
        <f>S15+S16</f>
        <v>196958.81999999998</v>
      </c>
      <c r="T17" s="49">
        <f>T15+T16</f>
        <v>206518.20999999996</v>
      </c>
      <c r="U17" s="49">
        <f>U15+U16</f>
        <v>213276.88999999996</v>
      </c>
      <c r="V17" s="49">
        <f>V15+V16</f>
        <v>222013.89999999997</v>
      </c>
      <c r="W17" s="49">
        <f>W15+W16</f>
        <v>230436.43999999997</v>
      </c>
      <c r="X17" s="49">
        <f>X15+X16</f>
        <v>239536.37999999998</v>
      </c>
      <c r="Y17" s="49">
        <f>Y15+Y16</f>
        <v>246285.52999999997</v>
      </c>
      <c r="Z17" s="49">
        <f>Z15+Z16</f>
        <v>250428.73999999996</v>
      </c>
      <c r="AA17" s="49">
        <f>AA15+AA16</f>
        <v>255800.60999999996</v>
      </c>
      <c r="AB17" s="49">
        <f>AB15+AB16</f>
        <v>262909.44999999995</v>
      </c>
      <c r="AC17" s="49">
        <f>AC15+AC16</f>
        <v>269779.64999999997</v>
      </c>
      <c r="AD17" s="49">
        <f>AD15+AD16</f>
        <v>279284.16</v>
      </c>
      <c r="AE17" s="49">
        <f>AE15+AE16</f>
        <v>287184.57999999996</v>
      </c>
      <c r="AF17" s="49">
        <f>AF15+AF16</f>
        <v>297470.08999999997</v>
      </c>
      <c r="AG17" s="49">
        <f>AG15+AG16</f>
        <v>304534.36</v>
      </c>
      <c r="AH17" s="49">
        <f>AH15+AH16</f>
        <v>313040.89999999997</v>
      </c>
      <c r="AI17" s="49">
        <f>AI15+AI16</f>
        <v>320299.52999999997</v>
      </c>
      <c r="AJ17" s="49">
        <f>AJ15+AJ16</f>
        <v>329694.61</v>
      </c>
      <c r="AK17" s="49">
        <f>AK15+AK16</f>
        <v>338138.92</v>
      </c>
    </row>
    <row r="18" spans="1:37" ht="16" outlineLevel="1">
      <c r="A18" s="40" t="s">
        <v>15</v>
      </c>
      <c r="B18" s="49">
        <f>B7+B11+B14+B17</f>
        <v>641568.8</v>
      </c>
      <c r="C18" s="49">
        <f>C7+C11+C14+C17</f>
        <v>655290.38</v>
      </c>
      <c r="D18" s="49">
        <f>D7+D11+D14+D17</f>
        <v>687245.27</v>
      </c>
      <c r="E18" s="49">
        <f>E7+E11+E14+E17</f>
        <v>820310.3400000001</v>
      </c>
      <c r="F18" s="49">
        <f>F7+F11+F14+F17</f>
        <v>932376.6399999999</v>
      </c>
      <c r="G18" s="49">
        <f>G7+G11+G14+G17</f>
        <v>980920.7</v>
      </c>
      <c r="H18" s="49">
        <f>H7+H11+H14+H17</f>
        <v>1138403.81</v>
      </c>
      <c r="I18" s="49">
        <f>I7+I11+I14+I17</f>
        <v>1212866.67</v>
      </c>
      <c r="J18" s="49">
        <f>J7+J11+J14+J17</f>
        <v>1340613.6</v>
      </c>
      <c r="K18" s="49">
        <f>K7+K11+K14+K17</f>
        <v>1443019.6</v>
      </c>
      <c r="L18" s="49">
        <f>L7+L11+L14+L17</f>
        <v>1480735.1300000001</v>
      </c>
      <c r="M18" s="49">
        <f>M7+M11+M14+M17</f>
        <v>1486907.73</v>
      </c>
      <c r="N18" s="49">
        <f>N7+N11+N14+N17</f>
        <v>1511664.58</v>
      </c>
      <c r="O18" s="49">
        <f>O7+O11+O14+O17</f>
        <v>1537399.29</v>
      </c>
      <c r="P18" s="49">
        <f>P7+P11+P14+P17</f>
        <v>1576281.5499999998</v>
      </c>
      <c r="Q18" s="49">
        <f>Q7+Q11+Q14+Q17</f>
        <v>1659357.74</v>
      </c>
      <c r="R18" s="49">
        <f>R7+R11+R14+R17</f>
        <v>1746269.39</v>
      </c>
      <c r="S18" s="49">
        <f>S7+S11+S14+S17</f>
        <v>1849611.5399999998</v>
      </c>
      <c r="T18" s="49">
        <f>T7+T11+T14+T17</f>
        <v>1988174.1999999997</v>
      </c>
      <c r="U18" s="49">
        <f>U7+U11+U14+U17</f>
        <v>2105281.15</v>
      </c>
      <c r="V18" s="49">
        <f>V7+V11+V14+V17</f>
        <v>2184841.46</v>
      </c>
      <c r="W18" s="49">
        <f>W7+W11+W14+W17</f>
        <v>2301677.4399999995</v>
      </c>
      <c r="X18" s="49">
        <f>X7+X11+X14+X17</f>
        <v>2325469.8099999996</v>
      </c>
      <c r="Y18" s="49">
        <f>Y7+Y11+Y14+Y17</f>
        <v>2319912.4399999995</v>
      </c>
      <c r="Z18" s="49">
        <f>Z7+Z11+Z14+Z17</f>
        <v>2335047.0199999996</v>
      </c>
      <c r="AA18" s="49">
        <f>AA7+AA11+AA14+AA17</f>
        <v>2363745.1399999997</v>
      </c>
      <c r="AB18" s="49">
        <f>AB7+AB11+AB14+AB17</f>
        <v>2412024.76</v>
      </c>
      <c r="AC18" s="49">
        <f>AC7+AC11+AC14+AC17</f>
        <v>2436419.2899999996</v>
      </c>
      <c r="AD18" s="49">
        <f>AD7+AD11+AD14+AD17</f>
        <v>2531115.1599999997</v>
      </c>
      <c r="AE18" s="49">
        <f>AE7+AE11+AE14+AE17</f>
        <v>2704356.5299999993</v>
      </c>
      <c r="AF18" s="49">
        <f>AF7+AF11+AF14+AF17</f>
        <v>2718868.3899999997</v>
      </c>
      <c r="AG18" s="49">
        <f>AG7+AG11+AG14+AG17</f>
        <v>2777816.79</v>
      </c>
      <c r="AH18" s="49">
        <f>AH7+AH11+AH14+AH17</f>
        <v>2833364.8</v>
      </c>
      <c r="AI18" s="49">
        <f>AI7+AI11+AI14+AI17</f>
        <v>2840415.0399999996</v>
      </c>
      <c r="AJ18" s="49">
        <f>AJ7+AJ11+AJ14+AJ17</f>
        <v>2860009.4499999997</v>
      </c>
      <c r="AK18" s="49">
        <f>AK7+AK11+AK14+AK17</f>
        <v>2880177.409999999</v>
      </c>
    </row>
    <row r="19" spans="1:37" ht="16" outlineLevel="1">
      <c r="A19" s="36" t="s">
        <v>16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</row>
    <row r="20" spans="1:37" ht="16" outlineLevel="2">
      <c r="A20" s="37" t="s">
        <v>17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</row>
    <row r="21" spans="1:37" ht="16" outlineLevel="3">
      <c r="A21" s="38" t="s">
        <v>18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8">
        <v>13495.0</v>
      </c>
    </row>
    <row r="22" spans="1:37" ht="16" outlineLevel="2">
      <c r="A22" s="39" t="s">
        <v>19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>
        <f>AK20+AK21</f>
        <v>13495.0</v>
      </c>
    </row>
    <row r="23" spans="1:37" ht="16" outlineLevel="1">
      <c r="A23" s="40" t="s">
        <v>20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>
        <f>AK19+AK22</f>
        <v>13495.0</v>
      </c>
    </row>
    <row r="24" spans="1:37" ht="16">
      <c r="A24" s="41" t="s">
        <v>21</v>
      </c>
      <c r="B24" s="49">
        <f>B18+B23</f>
        <v>641568.8</v>
      </c>
      <c r="C24" s="49">
        <f>C18+C23</f>
        <v>655290.38</v>
      </c>
      <c r="D24" s="49">
        <f>D18+D23</f>
        <v>687245.27</v>
      </c>
      <c r="E24" s="49">
        <f>E18+E23</f>
        <v>820310.3400000001</v>
      </c>
      <c r="F24" s="49">
        <f>F18+F23</f>
        <v>932376.6399999999</v>
      </c>
      <c r="G24" s="49">
        <f>G18+G23</f>
        <v>980920.7</v>
      </c>
      <c r="H24" s="49">
        <f>H18+H23</f>
        <v>1138403.81</v>
      </c>
      <c r="I24" s="49">
        <f>I18+I23</f>
        <v>1212866.67</v>
      </c>
      <c r="J24" s="49">
        <f>J18+J23</f>
        <v>1340613.6</v>
      </c>
      <c r="K24" s="49">
        <f>K18+K23</f>
        <v>1443019.6</v>
      </c>
      <c r="L24" s="49">
        <f>L18+L23</f>
        <v>1480735.1300000001</v>
      </c>
      <c r="M24" s="49">
        <f>M18+M23</f>
        <v>1486907.73</v>
      </c>
      <c r="N24" s="49">
        <f>N18+N23</f>
        <v>1511664.58</v>
      </c>
      <c r="O24" s="49">
        <f>O18+O23</f>
        <v>1537399.29</v>
      </c>
      <c r="P24" s="49">
        <f>P18+P23</f>
        <v>1576281.5499999998</v>
      </c>
      <c r="Q24" s="49">
        <f>Q18+Q23</f>
        <v>1659357.74</v>
      </c>
      <c r="R24" s="49">
        <f>R18+R23</f>
        <v>1746269.39</v>
      </c>
      <c r="S24" s="49">
        <f>S18+S23</f>
        <v>1849611.5399999998</v>
      </c>
      <c r="T24" s="49">
        <f>T18+T23</f>
        <v>1988174.1999999997</v>
      </c>
      <c r="U24" s="49">
        <f>U18+U23</f>
        <v>2105281.15</v>
      </c>
      <c r="V24" s="49">
        <f>V18+V23</f>
        <v>2184841.46</v>
      </c>
      <c r="W24" s="49">
        <f>W18+W23</f>
        <v>2301677.4399999995</v>
      </c>
      <c r="X24" s="49">
        <f>X18+X23</f>
        <v>2325469.8099999996</v>
      </c>
      <c r="Y24" s="49">
        <f>Y18+Y23</f>
        <v>2319912.4399999995</v>
      </c>
      <c r="Z24" s="49">
        <f>Z18+Z23</f>
        <v>2335047.0199999996</v>
      </c>
      <c r="AA24" s="49">
        <f>AA18+AA23</f>
        <v>2363745.1399999997</v>
      </c>
      <c r="AB24" s="49">
        <f>AB18+AB23</f>
        <v>2412024.76</v>
      </c>
      <c r="AC24" s="49">
        <f>AC18+AC23</f>
        <v>2436419.2899999996</v>
      </c>
      <c r="AD24" s="49">
        <f>AD18+AD23</f>
        <v>2531115.1599999997</v>
      </c>
      <c r="AE24" s="49">
        <f>AE18+AE23</f>
        <v>2704356.5299999993</v>
      </c>
      <c r="AF24" s="49">
        <f>AF18+AF23</f>
        <v>2718868.3899999997</v>
      </c>
      <c r="AG24" s="49">
        <f>AG18+AG23</f>
        <v>2777816.79</v>
      </c>
      <c r="AH24" s="49">
        <f>AH18+AH23</f>
        <v>2833364.8</v>
      </c>
      <c r="AI24" s="49">
        <f>AI18+AI23</f>
        <v>2840415.0399999996</v>
      </c>
      <c r="AJ24" s="49">
        <f>AJ18+AJ23</f>
        <v>2860009.4499999997</v>
      </c>
      <c r="AK24" s="49">
        <f>AK18+AK23</f>
        <v>2893672.409999999</v>
      </c>
    </row>
    <row r="25" spans="1:37" ht="16">
      <c r="A25" s="35" t="s">
        <v>22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</row>
    <row r="26" spans="1:37" ht="16" outlineLevel="1">
      <c r="A26" s="36" t="s">
        <v>23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</row>
    <row r="27" spans="1:37" ht="16" outlineLevel="2">
      <c r="A27" s="37" t="s">
        <v>24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</row>
    <row r="28" spans="1:37" ht="16" outlineLevel="3">
      <c r="A28" s="38" t="s">
        <v>25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</row>
    <row r="29" spans="1:37" ht="16" outlineLevel="4">
      <c r="A29" s="42" t="s">
        <v>26</v>
      </c>
      <c r="B29" s="48">
        <v>8553.43</v>
      </c>
      <c r="C29" s="48">
        <v>9980.27</v>
      </c>
      <c r="D29" s="48">
        <v>13331.220000000001</v>
      </c>
      <c r="E29" s="48">
        <v>23216.910000000003</v>
      </c>
      <c r="F29" s="48">
        <v>27921.850000000002</v>
      </c>
      <c r="G29" s="48">
        <v>34161.82</v>
      </c>
      <c r="H29" s="48">
        <v>35335.19</v>
      </c>
      <c r="I29" s="48">
        <v>36004.520000000004</v>
      </c>
      <c r="J29" s="48">
        <v>37022.340000000004</v>
      </c>
      <c r="K29" s="48">
        <v>40815.98</v>
      </c>
      <c r="L29" s="48">
        <v>36173.75</v>
      </c>
      <c r="M29" s="48">
        <v>32958.04</v>
      </c>
      <c r="N29" s="48">
        <v>25069.24</v>
      </c>
      <c r="O29" s="48">
        <v>21518.11</v>
      </c>
      <c r="P29" s="48">
        <v>23408.440000000002</v>
      </c>
      <c r="Q29" s="48">
        <v>27118.450000000004</v>
      </c>
      <c r="R29" s="48">
        <v>34662.560000000005</v>
      </c>
      <c r="S29" s="48">
        <v>52944.39000000001</v>
      </c>
      <c r="T29" s="48">
        <v>59687.75000000001</v>
      </c>
      <c r="U29" s="48">
        <v>70200.5</v>
      </c>
      <c r="V29" s="48">
        <v>68853.54</v>
      </c>
      <c r="W29" s="48">
        <v>71944.15999999999</v>
      </c>
      <c r="X29" s="48">
        <v>62076.89999999999</v>
      </c>
      <c r="Y29" s="48">
        <v>57027.919999999984</v>
      </c>
      <c r="Z29" s="48">
        <v>50985.96999999999</v>
      </c>
      <c r="AA29" s="48">
        <v>49940.07999999999</v>
      </c>
      <c r="AB29" s="48">
        <v>50506.30999999999</v>
      </c>
      <c r="AC29" s="48">
        <v>52240.25999999999</v>
      </c>
      <c r="AD29" s="48">
        <v>63407.87999999999</v>
      </c>
      <c r="AE29" s="48">
        <v>70024.56999999999</v>
      </c>
      <c r="AF29" s="48">
        <v>75552.29</v>
      </c>
      <c r="AG29" s="48">
        <v>90219.87</v>
      </c>
      <c r="AH29" s="48">
        <v>94542.87</v>
      </c>
      <c r="AI29" s="48">
        <v>93182.37</v>
      </c>
      <c r="AJ29" s="48">
        <v>86914.51999999999</v>
      </c>
      <c r="AK29" s="48">
        <v>84557.9</v>
      </c>
    </row>
    <row r="30" spans="1:37" ht="16" outlineLevel="3">
      <c r="A30" s="43" t="s">
        <v>27</v>
      </c>
      <c r="B30" s="49">
        <f>B28+B29</f>
        <v>8553.43</v>
      </c>
      <c r="C30" s="49">
        <f>C28+C29</f>
        <v>9980.27</v>
      </c>
      <c r="D30" s="49">
        <f>D28+D29</f>
        <v>13331.220000000001</v>
      </c>
      <c r="E30" s="49">
        <f>E28+E29</f>
        <v>23216.910000000003</v>
      </c>
      <c r="F30" s="49">
        <f>F28+F29</f>
        <v>27921.850000000002</v>
      </c>
      <c r="G30" s="49">
        <f>G28+G29</f>
        <v>34161.82</v>
      </c>
      <c r="H30" s="49">
        <f>H28+H29</f>
        <v>35335.19</v>
      </c>
      <c r="I30" s="49">
        <f>I28+I29</f>
        <v>36004.520000000004</v>
      </c>
      <c r="J30" s="49">
        <f>J28+J29</f>
        <v>37022.340000000004</v>
      </c>
      <c r="K30" s="49">
        <f>K28+K29</f>
        <v>40815.98</v>
      </c>
      <c r="L30" s="49">
        <f>L28+L29</f>
        <v>36173.75</v>
      </c>
      <c r="M30" s="49">
        <f>M28+M29</f>
        <v>32958.04</v>
      </c>
      <c r="N30" s="49">
        <f>N28+N29</f>
        <v>25069.24</v>
      </c>
      <c r="O30" s="49">
        <f>O28+O29</f>
        <v>21518.11</v>
      </c>
      <c r="P30" s="49">
        <f>P28+P29</f>
        <v>23408.440000000002</v>
      </c>
      <c r="Q30" s="49">
        <f>Q28+Q29</f>
        <v>27118.450000000004</v>
      </c>
      <c r="R30" s="49">
        <f>R28+R29</f>
        <v>34662.560000000005</v>
      </c>
      <c r="S30" s="49">
        <f>S28+S29</f>
        <v>52944.39000000001</v>
      </c>
      <c r="T30" s="49">
        <f>T28+T29</f>
        <v>59687.75000000001</v>
      </c>
      <c r="U30" s="49">
        <f>U28+U29</f>
        <v>70200.5</v>
      </c>
      <c r="V30" s="49">
        <f>V28+V29</f>
        <v>68853.54</v>
      </c>
      <c r="W30" s="49">
        <f>W28+W29</f>
        <v>71944.15999999999</v>
      </c>
      <c r="X30" s="49">
        <f>X28+X29</f>
        <v>62076.89999999999</v>
      </c>
      <c r="Y30" s="49">
        <f>Y28+Y29</f>
        <v>57027.919999999984</v>
      </c>
      <c r="Z30" s="49">
        <f>Z28+Z29</f>
        <v>50985.96999999999</v>
      </c>
      <c r="AA30" s="49">
        <f>AA28+AA29</f>
        <v>49940.07999999999</v>
      </c>
      <c r="AB30" s="49">
        <f>AB28+AB29</f>
        <v>50506.30999999999</v>
      </c>
      <c r="AC30" s="49">
        <f>AC28+AC29</f>
        <v>52240.25999999999</v>
      </c>
      <c r="AD30" s="49">
        <f>AD28+AD29</f>
        <v>63407.87999999999</v>
      </c>
      <c r="AE30" s="49">
        <f>AE28+AE29</f>
        <v>70024.56999999999</v>
      </c>
      <c r="AF30" s="49">
        <f>AF28+AF29</f>
        <v>75552.29</v>
      </c>
      <c r="AG30" s="49">
        <f>AG28+AG29</f>
        <v>90219.87</v>
      </c>
      <c r="AH30" s="49">
        <f>AH28+AH29</f>
        <v>94542.87</v>
      </c>
      <c r="AI30" s="49">
        <f>AI28+AI29</f>
        <v>93182.37</v>
      </c>
      <c r="AJ30" s="49">
        <f>AJ28+AJ29</f>
        <v>86914.51999999999</v>
      </c>
      <c r="AK30" s="49">
        <f>AK28+AK29</f>
        <v>84557.9</v>
      </c>
    </row>
    <row r="31" spans="1:37" ht="16" outlineLevel="3">
      <c r="A31" s="38" t="s">
        <v>28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</row>
    <row r="32" spans="1:37" ht="16" outlineLevel="4">
      <c r="A32" s="42" t="s">
        <v>29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8">
        <v>158.08</v>
      </c>
      <c r="AJ32" s="48">
        <v>158.08</v>
      </c>
      <c r="AK32" s="48">
        <v>709.76</v>
      </c>
    </row>
    <row r="33" spans="1:37" ht="16" outlineLevel="3">
      <c r="A33" s="43" t="s">
        <v>30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>
        <f>AI31+AI32</f>
        <v>158.08</v>
      </c>
      <c r="AJ33" s="49">
        <f>AJ31+AJ32</f>
        <v>158.08</v>
      </c>
      <c r="AK33" s="49">
        <f>AK31+AK32</f>
        <v>709.76</v>
      </c>
    </row>
    <row r="34" spans="1:37" ht="16" outlineLevel="3">
      <c r="A34" s="38" t="s">
        <v>31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</row>
    <row r="35" spans="1:37" ht="16" outlineLevel="4">
      <c r="A35" s="42" t="s">
        <v>32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8">
        <v>0</v>
      </c>
      <c r="AK35" s="48">
        <v>0</v>
      </c>
    </row>
    <row r="36" spans="1:37" ht="16" outlineLevel="4">
      <c r="A36" s="42" t="s">
        <v>33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8">
        <v>10.5</v>
      </c>
      <c r="AI36" s="48">
        <v>32.5</v>
      </c>
      <c r="AJ36" s="48">
        <v>6.399999999999999</v>
      </c>
      <c r="AK36" s="48">
        <v>320.84</v>
      </c>
    </row>
    <row r="37" spans="1:37" ht="16" outlineLevel="4">
      <c r="A37" s="42" t="s">
        <v>34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8">
        <v>4000.0</v>
      </c>
    </row>
    <row r="38" spans="1:37" ht="16" outlineLevel="3">
      <c r="A38" s="43" t="s">
        <v>35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>
        <f>AH34+AH35+AH36+AH37</f>
        <v>10.5</v>
      </c>
      <c r="AI38" s="49">
        <f>AI34+AI35+AI36+AI37</f>
        <v>32.5</v>
      </c>
      <c r="AJ38" s="49">
        <f>AJ34+AJ35+AJ36+AJ37</f>
        <v>6.399999999999999</v>
      </c>
      <c r="AK38" s="49">
        <f>AK34+AK35+AK36+AK37</f>
        <v>4320.84</v>
      </c>
    </row>
    <row r="39" spans="1:37" ht="16" outlineLevel="2">
      <c r="A39" s="39" t="s">
        <v>36</v>
      </c>
      <c r="B39" s="49">
        <f>B27+B30+B33+B38</f>
        <v>8553.43</v>
      </c>
      <c r="C39" s="49">
        <f>C27+C30+C33+C38</f>
        <v>9980.27</v>
      </c>
      <c r="D39" s="49">
        <f>D27+D30+D33+D38</f>
        <v>13331.220000000001</v>
      </c>
      <c r="E39" s="49">
        <f>E27+E30+E33+E38</f>
        <v>23216.910000000003</v>
      </c>
      <c r="F39" s="49">
        <f>F27+F30+F33+F38</f>
        <v>27921.850000000002</v>
      </c>
      <c r="G39" s="49">
        <f>G27+G30+G33+G38</f>
        <v>34161.82</v>
      </c>
      <c r="H39" s="49">
        <f>H27+H30+H33+H38</f>
        <v>35335.19</v>
      </c>
      <c r="I39" s="49">
        <f>I27+I30+I33+I38</f>
        <v>36004.520000000004</v>
      </c>
      <c r="J39" s="49">
        <f>J27+J30+J33+J38</f>
        <v>37022.340000000004</v>
      </c>
      <c r="K39" s="49">
        <f>K27+K30+K33+K38</f>
        <v>40815.98</v>
      </c>
      <c r="L39" s="49">
        <f>L27+L30+L33+L38</f>
        <v>36173.75</v>
      </c>
      <c r="M39" s="49">
        <f>M27+M30+M33+M38</f>
        <v>32958.04</v>
      </c>
      <c r="N39" s="49">
        <f>N27+N30+N33+N38</f>
        <v>25069.24</v>
      </c>
      <c r="O39" s="49">
        <f>O27+O30+O33+O38</f>
        <v>21518.11</v>
      </c>
      <c r="P39" s="49">
        <f>P27+P30+P33+P38</f>
        <v>23408.440000000002</v>
      </c>
      <c r="Q39" s="49">
        <f>Q27+Q30+Q33+Q38</f>
        <v>27118.450000000004</v>
      </c>
      <c r="R39" s="49">
        <f>R27+R30+R33+R38</f>
        <v>34662.560000000005</v>
      </c>
      <c r="S39" s="49">
        <f>S27+S30+S33+S38</f>
        <v>52944.39000000001</v>
      </c>
      <c r="T39" s="49">
        <f>T27+T30+T33+T38</f>
        <v>59687.75000000001</v>
      </c>
      <c r="U39" s="49">
        <f>U27+U30+U33+U38</f>
        <v>70200.5</v>
      </c>
      <c r="V39" s="49">
        <f>V27+V30+V33+V38</f>
        <v>68853.54</v>
      </c>
      <c r="W39" s="49">
        <f>W27+W30+W33+W38</f>
        <v>71944.15999999999</v>
      </c>
      <c r="X39" s="49">
        <f>X27+X30+X33+X38</f>
        <v>62076.89999999999</v>
      </c>
      <c r="Y39" s="49">
        <f>Y27+Y30+Y33+Y38</f>
        <v>57027.919999999984</v>
      </c>
      <c r="Z39" s="49">
        <f>Z27+Z30+Z33+Z38</f>
        <v>50985.96999999999</v>
      </c>
      <c r="AA39" s="49">
        <f>AA27+AA30+AA33+AA38</f>
        <v>49940.07999999999</v>
      </c>
      <c r="AB39" s="49">
        <f>AB27+AB30+AB33+AB38</f>
        <v>50506.30999999999</v>
      </c>
      <c r="AC39" s="49">
        <f>AC27+AC30+AC33+AC38</f>
        <v>52240.25999999999</v>
      </c>
      <c r="AD39" s="49">
        <f>AD27+AD30+AD33+AD38</f>
        <v>63407.87999999999</v>
      </c>
      <c r="AE39" s="49">
        <f>AE27+AE30+AE33+AE38</f>
        <v>70024.56999999999</v>
      </c>
      <c r="AF39" s="49">
        <f>AF27+AF30+AF33+AF38</f>
        <v>75552.29</v>
      </c>
      <c r="AG39" s="49">
        <f>AG27+AG30+AG33+AG38</f>
        <v>90219.87</v>
      </c>
      <c r="AH39" s="49">
        <f>AH27+AH30+AH33+AH38</f>
        <v>94553.37</v>
      </c>
      <c r="AI39" s="49">
        <f>AI27+AI30+AI33+AI38</f>
        <v>93372.95</v>
      </c>
      <c r="AJ39" s="49">
        <f>AJ27+AJ30+AJ33+AJ38</f>
        <v>87078.99999999999</v>
      </c>
      <c r="AK39" s="49">
        <f>AK27+AK30+AK33+AK38</f>
        <v>89588.49999999999</v>
      </c>
    </row>
    <row r="40" spans="1:37" ht="16" outlineLevel="2">
      <c r="A40" s="37" t="s">
        <v>37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</row>
    <row r="41" spans="1:37" ht="16" outlineLevel="3">
      <c r="A41" s="38" t="s">
        <v>38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8">
        <v>25000.0</v>
      </c>
    </row>
    <row r="42" spans="1:37" ht="16" outlineLevel="2">
      <c r="A42" s="39" t="s">
        <v>39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>
        <f>AK40+AK41</f>
        <v>25000.0</v>
      </c>
    </row>
    <row r="43" spans="1:37" ht="16" outlineLevel="1">
      <c r="A43" s="40" t="s">
        <v>40</v>
      </c>
      <c r="B43" s="49">
        <f>B26+B39+B42</f>
        <v>8553.43</v>
      </c>
      <c r="C43" s="49">
        <f>C26+C39+C42</f>
        <v>9980.27</v>
      </c>
      <c r="D43" s="49">
        <f>D26+D39+D42</f>
        <v>13331.220000000001</v>
      </c>
      <c r="E43" s="49">
        <f>E26+E39+E42</f>
        <v>23216.910000000003</v>
      </c>
      <c r="F43" s="49">
        <f>F26+F39+F42</f>
        <v>27921.850000000002</v>
      </c>
      <c r="G43" s="49">
        <f>G26+G39+G42</f>
        <v>34161.82</v>
      </c>
      <c r="H43" s="49">
        <f>H26+H39+H42</f>
        <v>35335.19</v>
      </c>
      <c r="I43" s="49">
        <f>I26+I39+I42</f>
        <v>36004.520000000004</v>
      </c>
      <c r="J43" s="49">
        <f>J26+J39+J42</f>
        <v>37022.340000000004</v>
      </c>
      <c r="K43" s="49">
        <f>K26+K39+K42</f>
        <v>40815.98</v>
      </c>
      <c r="L43" s="49">
        <f>L26+L39+L42</f>
        <v>36173.75</v>
      </c>
      <c r="M43" s="49">
        <f>M26+M39+M42</f>
        <v>32958.04</v>
      </c>
      <c r="N43" s="49">
        <f>N26+N39+N42</f>
        <v>25069.24</v>
      </c>
      <c r="O43" s="49">
        <f>O26+O39+O42</f>
        <v>21518.11</v>
      </c>
      <c r="P43" s="49">
        <f>P26+P39+P42</f>
        <v>23408.440000000002</v>
      </c>
      <c r="Q43" s="49">
        <f>Q26+Q39+Q42</f>
        <v>27118.450000000004</v>
      </c>
      <c r="R43" s="49">
        <f>R26+R39+R42</f>
        <v>34662.560000000005</v>
      </c>
      <c r="S43" s="49">
        <f>S26+S39+S42</f>
        <v>52944.39000000001</v>
      </c>
      <c r="T43" s="49">
        <f>T26+T39+T42</f>
        <v>59687.75000000001</v>
      </c>
      <c r="U43" s="49">
        <f>U26+U39+U42</f>
        <v>70200.5</v>
      </c>
      <c r="V43" s="49">
        <f>V26+V39+V42</f>
        <v>68853.54</v>
      </c>
      <c r="W43" s="49">
        <f>W26+W39+W42</f>
        <v>71944.15999999999</v>
      </c>
      <c r="X43" s="49">
        <f>X26+X39+X42</f>
        <v>62076.89999999999</v>
      </c>
      <c r="Y43" s="49">
        <f>Y26+Y39+Y42</f>
        <v>57027.919999999984</v>
      </c>
      <c r="Z43" s="49">
        <f>Z26+Z39+Z42</f>
        <v>50985.96999999999</v>
      </c>
      <c r="AA43" s="49">
        <f>AA26+AA39+AA42</f>
        <v>49940.07999999999</v>
      </c>
      <c r="AB43" s="49">
        <f>AB26+AB39+AB42</f>
        <v>50506.30999999999</v>
      </c>
      <c r="AC43" s="49">
        <f>AC26+AC39+AC42</f>
        <v>52240.25999999999</v>
      </c>
      <c r="AD43" s="49">
        <f>AD26+AD39+AD42</f>
        <v>63407.87999999999</v>
      </c>
      <c r="AE43" s="49">
        <f>AE26+AE39+AE42</f>
        <v>70024.56999999999</v>
      </c>
      <c r="AF43" s="49">
        <f>AF26+AF39+AF42</f>
        <v>75552.29</v>
      </c>
      <c r="AG43" s="49">
        <f>AG26+AG39+AG42</f>
        <v>90219.87</v>
      </c>
      <c r="AH43" s="49">
        <f>AH26+AH39+AH42</f>
        <v>94553.37</v>
      </c>
      <c r="AI43" s="49">
        <f>AI26+AI39+AI42</f>
        <v>93372.95</v>
      </c>
      <c r="AJ43" s="49">
        <f>AJ26+AJ39+AJ42</f>
        <v>87078.99999999999</v>
      </c>
      <c r="AK43" s="49">
        <f>AK26+AK39+AK42</f>
        <v>114588.49999999999</v>
      </c>
    </row>
    <row r="44" spans="1:37" ht="16" outlineLevel="1">
      <c r="A44" s="36" t="s">
        <v>41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</row>
    <row r="45" spans="1:37" ht="16" outlineLevel="2">
      <c r="A45" s="37" t="s">
        <v>42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8">
        <v>5000.0</v>
      </c>
      <c r="AH45" s="48">
        <v>5000.0</v>
      </c>
      <c r="AI45" s="48">
        <v>5000.0</v>
      </c>
      <c r="AJ45" s="48">
        <v>5000.0</v>
      </c>
      <c r="AK45" s="48">
        <v>-9905.0</v>
      </c>
    </row>
    <row r="46" spans="1:37" ht="16" outlineLevel="2">
      <c r="A46" s="37" t="s">
        <v>43</v>
      </c>
      <c r="B46" s="48">
        <v>629205.48</v>
      </c>
      <c r="C46" s="48">
        <v>629205.48</v>
      </c>
      <c r="D46" s="48">
        <v>629205.48</v>
      </c>
      <c r="E46" s="48">
        <v>629205.48</v>
      </c>
      <c r="F46" s="48">
        <v>629205.48</v>
      </c>
      <c r="G46" s="48">
        <v>629205.48</v>
      </c>
      <c r="H46" s="48">
        <v>629205.48</v>
      </c>
      <c r="I46" s="48">
        <v>629205.48</v>
      </c>
      <c r="J46" s="48">
        <v>629205.48</v>
      </c>
      <c r="K46" s="48">
        <v>629205.48</v>
      </c>
      <c r="L46" s="48">
        <v>629205.48</v>
      </c>
      <c r="M46" s="48">
        <v>629205.48</v>
      </c>
      <c r="N46" s="48">
        <v>1453949.69</v>
      </c>
      <c r="O46" s="48">
        <v>1453949.69</v>
      </c>
      <c r="P46" s="48">
        <v>1453949.69</v>
      </c>
      <c r="Q46" s="48">
        <v>1453949.69</v>
      </c>
      <c r="R46" s="48">
        <v>1453949.69</v>
      </c>
      <c r="S46" s="48">
        <v>1453949.69</v>
      </c>
      <c r="T46" s="48">
        <v>1453949.69</v>
      </c>
      <c r="U46" s="48">
        <v>1453949.69</v>
      </c>
      <c r="V46" s="48">
        <v>1453949.69</v>
      </c>
      <c r="W46" s="48">
        <v>1453949.69</v>
      </c>
      <c r="X46" s="48">
        <v>1453949.69</v>
      </c>
      <c r="Y46" s="48">
        <v>1453949.69</v>
      </c>
      <c r="Z46" s="48">
        <v>2262884.52</v>
      </c>
      <c r="AA46" s="48">
        <v>2262884.52</v>
      </c>
      <c r="AB46" s="48">
        <v>2262884.52</v>
      </c>
      <c r="AC46" s="48">
        <v>2262884.52</v>
      </c>
      <c r="AD46" s="48">
        <v>2262884.52</v>
      </c>
      <c r="AE46" s="48">
        <v>2262884.52</v>
      </c>
      <c r="AF46" s="48">
        <v>2262884.52</v>
      </c>
      <c r="AG46" s="48">
        <v>2262884.52</v>
      </c>
      <c r="AH46" s="48">
        <v>2262884.52</v>
      </c>
      <c r="AI46" s="48">
        <v>2262884.52</v>
      </c>
      <c r="AJ46" s="48">
        <v>2262884.52</v>
      </c>
      <c r="AK46" s="48">
        <v>2262884.52</v>
      </c>
    </row>
    <row r="47" spans="1:37" ht="16" outlineLevel="2">
      <c r="A47" s="37" t="s">
        <v>44</v>
      </c>
      <c r="B47" s="48">
        <v>3809.8900000000012</v>
      </c>
      <c r="C47" s="48">
        <v>16104.630000000003</v>
      </c>
      <c r="D47" s="48">
        <v>44708.56999999999</v>
      </c>
      <c r="E47" s="48">
        <v>167887.95</v>
      </c>
      <c r="F47" s="48">
        <v>275249.31000000006</v>
      </c>
      <c r="G47" s="48">
        <v>317553.4</v>
      </c>
      <c r="H47" s="48">
        <v>473863.14</v>
      </c>
      <c r="I47" s="48">
        <v>547656.67</v>
      </c>
      <c r="J47" s="48">
        <v>674385.78</v>
      </c>
      <c r="K47" s="48">
        <v>772998.14</v>
      </c>
      <c r="L47" s="48">
        <v>815355.9</v>
      </c>
      <c r="M47" s="48">
        <v>824744.21</v>
      </c>
      <c r="N47" s="48">
        <v>32645.65</v>
      </c>
      <c r="O47" s="48">
        <v>61931.490000000005</v>
      </c>
      <c r="P47" s="48">
        <v>98923.42000000001</v>
      </c>
      <c r="Q47" s="48">
        <v>178289.59999999998</v>
      </c>
      <c r="R47" s="48">
        <v>257657.13999999998</v>
      </c>
      <c r="S47" s="48">
        <v>342717.45999999996</v>
      </c>
      <c r="T47" s="48">
        <v>474536.76</v>
      </c>
      <c r="U47" s="48">
        <v>581130.96</v>
      </c>
      <c r="V47" s="48">
        <v>662038.23</v>
      </c>
      <c r="W47" s="48">
        <v>775783.59</v>
      </c>
      <c r="X47" s="48">
        <v>809443.22</v>
      </c>
      <c r="Y47" s="48">
        <v>808934.83</v>
      </c>
      <c r="Z47" s="48">
        <v>21176.530000000006</v>
      </c>
      <c r="AA47" s="48">
        <v>50920.54000000001</v>
      </c>
      <c r="AB47" s="48">
        <v>98633.93000000001</v>
      </c>
      <c r="AC47" s="48">
        <v>121294.51000000001</v>
      </c>
      <c r="AD47" s="48">
        <v>204822.76000000004</v>
      </c>
      <c r="AE47" s="48">
        <v>371447.44000000006</v>
      </c>
      <c r="AF47" s="48">
        <v>380431.5800000001</v>
      </c>
      <c r="AG47" s="48">
        <v>419712.4000000001</v>
      </c>
      <c r="AH47" s="48">
        <v>470926.9100000001</v>
      </c>
      <c r="AI47" s="48">
        <v>479157.57000000007</v>
      </c>
      <c r="AJ47" s="48">
        <v>505045.93000000005</v>
      </c>
      <c r="AK47" s="48">
        <v>526104.39</v>
      </c>
    </row>
    <row r="48" spans="1:37" ht="16" outlineLevel="1">
      <c r="A48" s="40" t="s">
        <v>45</v>
      </c>
      <c r="B48" s="49">
        <f>B44+B45+B46+B47</f>
        <v>633015.37</v>
      </c>
      <c r="C48" s="49">
        <f>C44+C45+C46+C47</f>
        <v>645310.11</v>
      </c>
      <c r="D48" s="49">
        <f>D44+D45+D46+D47</f>
        <v>673914.0499999999</v>
      </c>
      <c r="E48" s="49">
        <f>E44+E45+E46+E47</f>
        <v>797093.4299999999</v>
      </c>
      <c r="F48" s="49">
        <f>F44+F45+F46+F47</f>
        <v>904454.79</v>
      </c>
      <c r="G48" s="49">
        <f>G44+G45+G46+G47</f>
        <v>946758.88</v>
      </c>
      <c r="H48" s="49">
        <f>H44+H45+H46+H47</f>
        <v>1103068.62</v>
      </c>
      <c r="I48" s="49">
        <f>I44+I45+I46+I47</f>
        <v>1176862.15</v>
      </c>
      <c r="J48" s="49">
        <f>J44+J45+J46+J47</f>
        <v>1303591.26</v>
      </c>
      <c r="K48" s="49">
        <f>K44+K45+K46+K47</f>
        <v>1402203.62</v>
      </c>
      <c r="L48" s="49">
        <f>L44+L45+L46+L47</f>
        <v>1444561.38</v>
      </c>
      <c r="M48" s="49">
        <f>M44+M45+M46+M47</f>
        <v>1453949.69</v>
      </c>
      <c r="N48" s="49">
        <f>N44+N45+N46+N47</f>
        <v>1486595.3399999999</v>
      </c>
      <c r="O48" s="49">
        <f>O44+O45+O46+O47</f>
        <v>1515881.18</v>
      </c>
      <c r="P48" s="49">
        <f>P44+P45+P46+P47</f>
        <v>1552873.1099999999</v>
      </c>
      <c r="Q48" s="49">
        <f>Q44+Q45+Q46+Q47</f>
        <v>1632239.29</v>
      </c>
      <c r="R48" s="49">
        <f>R44+R45+R46+R47</f>
        <v>1711606.8299999998</v>
      </c>
      <c r="S48" s="49">
        <f>S44+S45+S46+S47</f>
        <v>1796667.15</v>
      </c>
      <c r="T48" s="49">
        <f>T44+T45+T46+T47</f>
        <v>1928486.45</v>
      </c>
      <c r="U48" s="49">
        <f>U44+U45+U46+U47</f>
        <v>2035080.65</v>
      </c>
      <c r="V48" s="49">
        <f>V44+V45+V46+V47</f>
        <v>2115987.92</v>
      </c>
      <c r="W48" s="49">
        <f>W44+W45+W46+W47</f>
        <v>2229733.28</v>
      </c>
      <c r="X48" s="49">
        <f>X44+X45+X46+X47</f>
        <v>2263392.91</v>
      </c>
      <c r="Y48" s="49">
        <f>Y44+Y45+Y46+Y47</f>
        <v>2262884.52</v>
      </c>
      <c r="Z48" s="49">
        <f>Z44+Z45+Z46+Z47</f>
        <v>2284061.05</v>
      </c>
      <c r="AA48" s="49">
        <f>AA44+AA45+AA46+AA47</f>
        <v>2313805.06</v>
      </c>
      <c r="AB48" s="49">
        <f>AB44+AB45+AB46+AB47</f>
        <v>2361518.45</v>
      </c>
      <c r="AC48" s="49">
        <f>AC44+AC45+AC46+AC47</f>
        <v>2384179.0300000003</v>
      </c>
      <c r="AD48" s="49">
        <f>AD44+AD45+AD46+AD47</f>
        <v>2467707.2800000003</v>
      </c>
      <c r="AE48" s="49">
        <f>AE44+AE45+AE46+AE47</f>
        <v>2634331.96</v>
      </c>
      <c r="AF48" s="49">
        <f>AF44+AF45+AF46+AF47</f>
        <v>2643316.1</v>
      </c>
      <c r="AG48" s="49">
        <f>AG44+AG45+AG46+AG47</f>
        <v>2687596.92</v>
      </c>
      <c r="AH48" s="49">
        <f>AH44+AH45+AH46+AH47</f>
        <v>2738811.43</v>
      </c>
      <c r="AI48" s="49">
        <f>AI44+AI45+AI46+AI47</f>
        <v>2747042.09</v>
      </c>
      <c r="AJ48" s="49">
        <f>AJ44+AJ45+AJ46+AJ47</f>
        <v>2772930.45</v>
      </c>
      <c r="AK48" s="49">
        <f>AK44+AK45+AK46+AK47</f>
        <v>2779083.91</v>
      </c>
    </row>
    <row r="49" spans="1:37" ht="16">
      <c r="A49" s="41" t="s">
        <v>46</v>
      </c>
      <c r="B49" s="49">
        <f>B43+B48</f>
        <v>641568.8</v>
      </c>
      <c r="C49" s="49">
        <f>C43+C48</f>
        <v>655290.38</v>
      </c>
      <c r="D49" s="49">
        <f>D43+D48</f>
        <v>687245.2699999999</v>
      </c>
      <c r="E49" s="49">
        <f>E43+E48</f>
        <v>820310.34</v>
      </c>
      <c r="F49" s="49">
        <f>F43+F48</f>
        <v>932376.64</v>
      </c>
      <c r="G49" s="49">
        <f>G43+G48</f>
        <v>980920.7</v>
      </c>
      <c r="H49" s="49">
        <f>H43+H48</f>
        <v>1138403.81</v>
      </c>
      <c r="I49" s="49">
        <f>I43+I48</f>
        <v>1212866.67</v>
      </c>
      <c r="J49" s="49">
        <f>J43+J48</f>
        <v>1340613.6</v>
      </c>
      <c r="K49" s="49">
        <f>K43+K48</f>
        <v>1443019.6</v>
      </c>
      <c r="L49" s="49">
        <f>L43+L48</f>
        <v>1480735.13</v>
      </c>
      <c r="M49" s="49">
        <f>M43+M48</f>
        <v>1486907.73</v>
      </c>
      <c r="N49" s="49">
        <f>N43+N48</f>
        <v>1511664.5799999998</v>
      </c>
      <c r="O49" s="49">
        <f>O43+O48</f>
        <v>1537399.29</v>
      </c>
      <c r="P49" s="49">
        <f>P43+P48</f>
        <v>1576281.5499999998</v>
      </c>
      <c r="Q49" s="49">
        <f>Q43+Q48</f>
        <v>1659357.74</v>
      </c>
      <c r="R49" s="49">
        <f>R43+R48</f>
        <v>1746269.39</v>
      </c>
      <c r="S49" s="49">
        <f>S43+S48</f>
        <v>1849611.5399999998</v>
      </c>
      <c r="T49" s="49">
        <f>T43+T48</f>
        <v>1988174.2</v>
      </c>
      <c r="U49" s="49">
        <f>U43+U48</f>
        <v>2105281.15</v>
      </c>
      <c r="V49" s="49">
        <f>V43+V48</f>
        <v>2184841.46</v>
      </c>
      <c r="W49" s="49">
        <f>W43+W48</f>
        <v>2301677.44</v>
      </c>
      <c r="X49" s="49">
        <f>X43+X48</f>
        <v>2325469.81</v>
      </c>
      <c r="Y49" s="49">
        <f>Y43+Y48</f>
        <v>2319912.44</v>
      </c>
      <c r="Z49" s="49">
        <f>Z43+Z48</f>
        <v>2335047.02</v>
      </c>
      <c r="AA49" s="49">
        <f>AA43+AA48</f>
        <v>2363745.14</v>
      </c>
      <c r="AB49" s="49">
        <f>AB43+AB48</f>
        <v>2412024.7600000002</v>
      </c>
      <c r="AC49" s="49">
        <f>AC43+AC48</f>
        <v>2436419.29</v>
      </c>
      <c r="AD49" s="49">
        <f>AD43+AD48</f>
        <v>2531115.16</v>
      </c>
      <c r="AE49" s="49">
        <f>AE43+AE48</f>
        <v>2704356.53</v>
      </c>
      <c r="AF49" s="49">
        <f>AF43+AF48</f>
        <v>2718868.39</v>
      </c>
      <c r="AG49" s="49">
        <f>AG43+AG48</f>
        <v>2777816.79</v>
      </c>
      <c r="AH49" s="49">
        <f>AH43+AH48</f>
        <v>2833364.8000000003</v>
      </c>
      <c r="AI49" s="49">
        <f>AI43+AI48</f>
        <v>2840415.04</v>
      </c>
      <c r="AJ49" s="49">
        <f>AJ43+AJ48</f>
        <v>2860009.45</v>
      </c>
      <c r="AK49" s="49">
        <f>AK43+AK48</f>
        <v>2893672.41</v>
      </c>
    </row>
    <row r="53" spans="1:1" ht="16">
      <c r="A53" s="50" t="s">
        <v>84</v>
      </c>
    </row>
  </sheetData>
  <mergeCells count="4">
    <mergeCell ref="A1:AK1"/>
    <mergeCell ref="A2:AK2"/>
    <mergeCell ref="A3:AK3"/>
    <mergeCell ref="A53:AK5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