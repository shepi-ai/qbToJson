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ial Balance" r:id="rId3" sheetId="1"/>
  </sheets>
</workbook>
</file>

<file path=xl/sharedStrings.xml><?xml version="1.0" encoding="utf-8"?>
<sst xmlns="http://schemas.openxmlformats.org/spreadsheetml/2006/main" count="73" uniqueCount="61">
  <si>
    <t>Jan 2025</t>
  </si>
  <si>
    <t>Feb 2025</t>
  </si>
  <si>
    <t>Mar 2025</t>
  </si>
  <si>
    <t>Apr 2025</t>
  </si>
  <si>
    <t>May 2025</t>
  </si>
  <si>
    <t>Jun 2025</t>
  </si>
  <si>
    <t>Jul 2025</t>
  </si>
  <si>
    <t>Debit</t>
  </si>
  <si>
    <t>Credit</t>
  </si>
  <si>
    <t>Checking</t>
  </si>
  <si>
    <t>Savings</t>
  </si>
  <si>
    <t>Accounts Receivable (A/R)</t>
  </si>
  <si>
    <t>Inventory Asset</t>
  </si>
  <si>
    <t>Undeposited Funds</t>
  </si>
  <si>
    <t>Truck:Original Cost</t>
  </si>
  <si>
    <t>Accounts Payable (A/P)</t>
  </si>
  <si>
    <t>Mastercard</t>
  </si>
  <si>
    <t>Arizona Dept. of Revenue Payable</t>
  </si>
  <si>
    <t>Board of Equalization Payable</t>
  </si>
  <si>
    <t>Loan Payable</t>
  </si>
  <si>
    <t>Notes Payable</t>
  </si>
  <si>
    <t>Opening Balance Equity</t>
  </si>
  <si>
    <t>Retained Earnings</t>
  </si>
  <si>
    <t>Design income</t>
  </si>
  <si>
    <t>Discounts given</t>
  </si>
  <si>
    <t>Landscaping Services</t>
  </si>
  <si>
    <t>Landscaping Services:Job Materials:Fountains and Garden Lighting</t>
  </si>
  <si>
    <t>Landscaping Services:Job Materials:Plants and Soil</t>
  </si>
  <si>
    <t>Landscaping Services:Job Materials:Sprinklers and Drip Systems</t>
  </si>
  <si>
    <t>Landscaping Services:Labor:Installation</t>
  </si>
  <si>
    <t>Landscaping Services:Labor:Maintenance and Repair</t>
  </si>
  <si>
    <t>Pest Control Services</t>
  </si>
  <si>
    <t>Sales of Product Income</t>
  </si>
  <si>
    <t>Services</t>
  </si>
  <si>
    <t>Cost of Goods Sold</t>
  </si>
  <si>
    <t>Advertising</t>
  </si>
  <si>
    <t>Automobile</t>
  </si>
  <si>
    <t>Automobile:Fuel</t>
  </si>
  <si>
    <t>Equipment Rental</t>
  </si>
  <si>
    <t>Insurance</t>
  </si>
  <si>
    <t>Job Expenses</t>
  </si>
  <si>
    <t>Job Expenses:Job Materials:Decks and Patios</t>
  </si>
  <si>
    <t>Job Expenses:Job Materials:Plants and Soil</t>
  </si>
  <si>
    <t>Job Expenses:Job Materials:Sprinklers and Drip Systems</t>
  </si>
  <si>
    <t>Legal &amp; Professional Fees</t>
  </si>
  <si>
    <t>Legal &amp; Professional Fees:Accounting</t>
  </si>
  <si>
    <t>Legal &amp; Professional Fees:Bookkeeper</t>
  </si>
  <si>
    <t>Legal &amp; Professional Fees:Lawyer</t>
  </si>
  <si>
    <t>Maintenance and Repair</t>
  </si>
  <si>
    <t>Maintenance and Repair:Equipment Repairs</t>
  </si>
  <si>
    <t>Meals and Entertainment</t>
  </si>
  <si>
    <t>Office Expenses</t>
  </si>
  <si>
    <t>Rent or Lease</t>
  </si>
  <si>
    <t>Utilities:Gas and Electric</t>
  </si>
  <si>
    <t>Utilities:Telephone</t>
  </si>
  <si>
    <t>Miscellaneous</t>
  </si>
  <si>
    <t>TOTAL</t>
  </si>
  <si>
    <t>Sunday, Jul 27, 2025 06:25:49 PM GMT-7 - Accrual Basis</t>
  </si>
  <si>
    <t>Sandbox Company_US_1</t>
  </si>
  <si>
    <t>Trial Balance</t>
  </si>
  <si>
    <t>As of July 31, 2025</t>
  </si>
</sst>
</file>

<file path=xl/styles.xml><?xml version="1.0" encoding="utf-8"?>
<styleSheet xmlns="http://schemas.openxmlformats.org/spreadsheetml/2006/main">
  <numFmts count="2">
    <numFmt numFmtId="164" formatCode="#,##0.00\ _€"/>
    <numFmt numFmtId="165" formatCode="&quot;$&quot;* #,##0.00\ _€"/>
  </numFmts>
  <fonts count="6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8.0"/>
      <b val="true"/>
      <color indexed="8"/>
    </font>
    <font>
      <name val="Arial"/>
      <sz val="8.0"/>
      <color indexed="8"/>
    </font>
    <font>
      <name val="Arial"/>
      <sz val="14.0"/>
      <b val="true"/>
      <color indexed="8"/>
    </font>
    <font>
      <name val="Arial"/>
      <sz val="10.0"/>
      <b val="true"/>
      <color indexed="8"/>
    </font>
  </fonts>
  <fills count="2">
    <fill>
      <patternFill patternType="none"/>
    </fill>
    <fill>
      <patternFill patternType="darkGray"/>
    </fill>
  </fills>
  <borders count="4">
    <border>
      <left/>
      <right/>
      <top/>
      <bottom/>
      <diagonal/>
    </border>
    <border>
      <bottom style="thin"/>
    </border>
    <border>
      <top style="thin"/>
    </border>
    <border>
      <top style="thin"/>
      <bottom>
        <color indexed="6"/>
      </bottom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>
      <alignment wrapText="true"/>
    </xf>
    <xf numFmtId="0" fontId="1" fillId="0" borderId="1" xfId="0" applyBorder="true" applyFont="true">
      <alignment wrapText="true" horizontal="center"/>
    </xf>
    <xf numFmtId="0" fontId="2" fillId="0" borderId="0" xfId="0" applyFont="true">
      <alignment wrapText="true" horizontal="left"/>
    </xf>
    <xf numFmtId="164" fontId="3" fillId="0" borderId="0" xfId="0" applyNumberFormat="true" applyFont="true">
      <alignment wrapText="true"/>
    </xf>
    <xf numFmtId="164" fontId="3" fillId="0" borderId="0" xfId="0" applyNumberFormat="true" applyFont="true">
      <alignment wrapText="true" horizontal="right"/>
    </xf>
    <xf numFmtId="165" fontId="2" fillId="0" borderId="3" xfId="0" applyBorder="true" applyNumberFormat="true" applyFont="true">
      <alignment wrapText="true" horizontal="right"/>
    </xf>
    <xf numFmtId="0" fontId="3" fillId="0" borderId="0" xfId="0" applyFont="true">
      <alignment wrapText="false" horizontal="center"/>
    </xf>
    <xf numFmtId="0" fontId="4" fillId="0" borderId="0" xfId="0" applyFont="true">
      <alignment wrapText="false" horizontal="center"/>
    </xf>
    <xf numFmtId="0" fontId="5" fillId="0" borderId="0" xfId="0" applyFont="true">
      <alignment wrapText="false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8"/>
  <sheetViews>
    <sheetView workbookViewId="0" tabSelected="true"/>
  </sheetViews>
  <sheetFormatPr defaultRowHeight="15.0"/>
  <cols>
    <col min="1" max="1" width="55.859375" customWidth="true"/>
    <col min="2" max="2" width="7.734375" customWidth="true"/>
    <col min="3" max="3" width="7.734375" customWidth="true"/>
    <col min="4" max="4" width="8.59375" customWidth="true"/>
    <col min="5" max="5" width="8.59375" customWidth="true"/>
    <col min="6" max="6" width="8.59375" customWidth="true"/>
    <col min="7" max="7" width="8.59375" customWidth="true"/>
    <col min="8" max="8" width="8.59375" customWidth="true"/>
    <col min="9" max="9" width="8.59375" customWidth="true"/>
    <col min="10" max="10" width="8.59375" customWidth="true"/>
    <col min="11" max="11" width="8.59375" customWidth="true"/>
    <col min="12" max="12" width="9.453125" customWidth="true"/>
    <col min="13" max="13" width="9.453125" customWidth="true"/>
    <col min="14" max="14" width="9.453125" customWidth="true"/>
    <col min="15" max="15" width="9.453125" customWidth="true"/>
  </cols>
  <sheetData>
    <row r="1">
      <c r="A1" s="8" t="s">
        <v>58</v>
      </c>
      <c r="B1"/>
      <c r="C1"/>
      <c r="D1"/>
      <c r="E1"/>
      <c r="F1"/>
      <c r="G1"/>
      <c r="H1"/>
      <c r="I1"/>
      <c r="J1"/>
      <c r="K1"/>
      <c r="L1"/>
      <c r="M1"/>
      <c r="N1"/>
      <c r="O1"/>
    </row>
    <row r="2">
      <c r="A2" s="8" t="s">
        <v>59</v>
      </c>
      <c r="B2"/>
      <c r="C2"/>
      <c r="D2"/>
      <c r="E2"/>
      <c r="F2"/>
      <c r="G2"/>
      <c r="H2"/>
      <c r="I2"/>
      <c r="J2"/>
      <c r="K2"/>
      <c r="L2"/>
      <c r="M2"/>
      <c r="N2"/>
      <c r="O2"/>
    </row>
    <row r="3">
      <c r="A3" s="9" t="s">
        <v>60</v>
      </c>
      <c r="B3"/>
      <c r="C3"/>
      <c r="D3"/>
      <c r="E3"/>
      <c r="F3"/>
      <c r="G3"/>
      <c r="H3"/>
      <c r="I3"/>
      <c r="J3"/>
      <c r="K3"/>
      <c r="L3"/>
      <c r="M3"/>
      <c r="N3"/>
      <c r="O3"/>
    </row>
    <row r="5">
      <c r="A5" s="1"/>
      <c r="B5" t="s" s="2">
        <v>0</v>
      </c>
      <c r="C5" s="1"/>
      <c r="D5" t="s" s="2">
        <v>1</v>
      </c>
      <c r="E5" s="1"/>
      <c r="F5" t="s" s="2">
        <v>2</v>
      </c>
      <c r="G5" s="1"/>
      <c r="H5" t="s" s="2">
        <v>3</v>
      </c>
      <c r="I5" s="1"/>
      <c r="J5" t="s" s="2">
        <v>4</v>
      </c>
      <c r="K5" s="1"/>
      <c r="L5" t="s" s="2">
        <v>5</v>
      </c>
      <c r="M5" s="1"/>
      <c r="N5" t="s" s="2">
        <v>6</v>
      </c>
      <c r="O5" s="1"/>
    </row>
    <row r="6">
      <c r="A6" s="1"/>
      <c r="B6" t="s" s="2">
        <v>7</v>
      </c>
      <c r="C6" t="s" s="2">
        <v>8</v>
      </c>
      <c r="D6" t="s" s="2">
        <v>7</v>
      </c>
      <c r="E6" t="s" s="2">
        <v>8</v>
      </c>
      <c r="F6" t="s" s="2">
        <v>7</v>
      </c>
      <c r="G6" t="s" s="2">
        <v>8</v>
      </c>
      <c r="H6" t="s" s="2">
        <v>7</v>
      </c>
      <c r="I6" t="s" s="2">
        <v>8</v>
      </c>
      <c r="J6" t="s" s="2">
        <v>7</v>
      </c>
      <c r="K6" t="s" s="2">
        <v>8</v>
      </c>
      <c r="L6" t="s" s="2">
        <v>7</v>
      </c>
      <c r="M6" t="s" s="2">
        <v>8</v>
      </c>
      <c r="N6" t="s" s="2">
        <v>7</v>
      </c>
      <c r="O6" t="s" s="2">
        <v>8</v>
      </c>
    </row>
    <row r="7">
      <c r="A7" t="s" s="3">
        <v>9</v>
      </c>
      <c r="B7" s="4"/>
      <c r="C7" s="4"/>
      <c r="D7" t="n" s="5">
        <f>5000.00</f>
        <v>0.0</v>
      </c>
      <c r="E7" s="4"/>
      <c r="F7" t="n" s="5">
        <f>4700.00</f>
        <v>0.0</v>
      </c>
      <c r="G7" s="4"/>
      <c r="H7" t="n" s="5">
        <f>4625.00</f>
        <v>0.0</v>
      </c>
      <c r="I7" s="4"/>
      <c r="J7" t="n" s="5">
        <f>4179.36</f>
        <v>0.0</v>
      </c>
      <c r="K7" s="4"/>
      <c r="L7" t="n" s="5">
        <f>1560.10</f>
        <v>0.0</v>
      </c>
      <c r="M7" s="4"/>
      <c r="N7" t="n" s="5">
        <f>1201.00</f>
        <v>0.0</v>
      </c>
      <c r="O7" s="4"/>
    </row>
    <row r="8">
      <c r="A8" t="s" s="3">
        <v>10</v>
      </c>
      <c r="B8" s="4"/>
      <c r="C8" s="4"/>
      <c r="D8" t="n" s="5">
        <f>B8</f>
        <v>0.0</v>
      </c>
      <c r="E8" t="n" s="5">
        <f>C8</f>
        <v>0.0</v>
      </c>
      <c r="F8" t="n" s="5">
        <f>D8</f>
        <v>0.0</v>
      </c>
      <c r="G8" t="n" s="5">
        <f>E8</f>
        <v>0.0</v>
      </c>
      <c r="H8" t="n" s="5">
        <f>F8</f>
        <v>0.0</v>
      </c>
      <c r="I8" t="n" s="5">
        <f>G8</f>
        <v>0.0</v>
      </c>
      <c r="J8" t="n" s="5">
        <f>H8</f>
        <v>0.0</v>
      </c>
      <c r="K8" t="n" s="5">
        <f>I8</f>
        <v>0.0</v>
      </c>
      <c r="L8" t="n" s="5">
        <f>600.00</f>
        <v>0.0</v>
      </c>
      <c r="M8" s="4"/>
      <c r="N8" t="n" s="5">
        <f>800.00</f>
        <v>0.0</v>
      </c>
      <c r="O8" s="4"/>
    </row>
    <row r="9">
      <c r="A9" t="s" s="3">
        <v>11</v>
      </c>
      <c r="B9" s="4"/>
      <c r="C9" s="4"/>
      <c r="D9" t="n" s="5">
        <f>B9</f>
        <v>0.0</v>
      </c>
      <c r="E9" t="n" s="5">
        <f>C9</f>
        <v>0.0</v>
      </c>
      <c r="F9" t="n" s="5">
        <f>401.75</f>
        <v>0.0</v>
      </c>
      <c r="G9" s="4"/>
      <c r="H9" t="n" s="5">
        <f>543.00</f>
        <v>0.0</v>
      </c>
      <c r="I9" s="4"/>
      <c r="J9" t="n" s="5">
        <f>1535.80</f>
        <v>0.0</v>
      </c>
      <c r="K9" s="4"/>
      <c r="L9" t="n" s="5">
        <f>6190.19</f>
        <v>0.0</v>
      </c>
      <c r="M9" s="4"/>
      <c r="N9" t="n" s="5">
        <f>5281.52</f>
        <v>0.0</v>
      </c>
      <c r="O9" s="4"/>
    </row>
    <row r="10">
      <c r="A10" t="s" s="3">
        <v>12</v>
      </c>
      <c r="B10" s="4"/>
      <c r="C10" s="4"/>
      <c r="D10" t="n" s="5">
        <f>B10</f>
        <v>0.0</v>
      </c>
      <c r="E10" t="n" s="5">
        <f>C10</f>
        <v>0.0</v>
      </c>
      <c r="F10" t="n" s="5">
        <f>D10</f>
        <v>0.0</v>
      </c>
      <c r="G10" t="n" s="5">
        <f>E10</f>
        <v>0.0</v>
      </c>
      <c r="H10" t="n" s="5">
        <f>F10</f>
        <v>0.0</v>
      </c>
      <c r="I10" t="n" s="5">
        <f>G10</f>
        <v>0.0</v>
      </c>
      <c r="J10" t="n" s="5">
        <f>H10</f>
        <v>0.0</v>
      </c>
      <c r="K10" t="n" s="5">
        <f>I10</f>
        <v>0.0</v>
      </c>
      <c r="L10" t="n" s="5">
        <f>J10</f>
        <v>0.0</v>
      </c>
      <c r="M10" t="n" s="5">
        <f>K10</f>
        <v>0.0</v>
      </c>
      <c r="N10" t="n" s="5">
        <f>596.25</f>
        <v>0.0</v>
      </c>
      <c r="O10" s="4"/>
    </row>
    <row r="11">
      <c r="A11" t="s" s="3">
        <v>13</v>
      </c>
      <c r="B11" s="4"/>
      <c r="C11" s="4"/>
      <c r="D11" t="n" s="5">
        <f>B11</f>
        <v>0.0</v>
      </c>
      <c r="E11" t="n" s="5">
        <f>C11</f>
        <v>0.0</v>
      </c>
      <c r="F11" t="n" s="5">
        <f>D11</f>
        <v>0.0</v>
      </c>
      <c r="G11" t="n" s="5">
        <f>E11</f>
        <v>0.0</v>
      </c>
      <c r="H11" t="n" s="5">
        <f>226.75</f>
        <v>0.0</v>
      </c>
      <c r="I11" s="4"/>
      <c r="J11" t="n" s="5">
        <f>H11</f>
        <v>0.0</v>
      </c>
      <c r="K11" t="n" s="5">
        <f>I11</f>
        <v>0.0</v>
      </c>
      <c r="L11" t="n" s="5">
        <f>1068.15</f>
        <v>0.0</v>
      </c>
      <c r="M11" s="4"/>
      <c r="N11" t="n" s="5">
        <f>2062.52</f>
        <v>0.0</v>
      </c>
      <c r="O11" s="4"/>
    </row>
    <row r="12">
      <c r="A12" t="s" s="3">
        <v>14</v>
      </c>
      <c r="B12" s="4"/>
      <c r="C12" s="4"/>
      <c r="D12" t="n" s="5">
        <f>B12</f>
        <v>0.0</v>
      </c>
      <c r="E12" t="n" s="5">
        <f>C12</f>
        <v>0.0</v>
      </c>
      <c r="F12" t="n" s="5">
        <f>D12</f>
        <v>0.0</v>
      </c>
      <c r="G12" t="n" s="5">
        <f>E12</f>
        <v>0.0</v>
      </c>
      <c r="H12" t="n" s="5">
        <f>F12</f>
        <v>0.0</v>
      </c>
      <c r="I12" t="n" s="5">
        <f>G12</f>
        <v>0.0</v>
      </c>
      <c r="J12" t="n" s="5">
        <f>H12</f>
        <v>0.0</v>
      </c>
      <c r="K12" t="n" s="5">
        <f>I12</f>
        <v>0.0</v>
      </c>
      <c r="L12" t="n" s="5">
        <f>13495.00</f>
        <v>0.0</v>
      </c>
      <c r="M12" s="4"/>
      <c r="N12" t="n" s="5">
        <f>L12</f>
        <v>0.0</v>
      </c>
      <c r="O12" t="n" s="5">
        <f>M12</f>
        <v>0.0</v>
      </c>
    </row>
    <row r="13">
      <c r="A13" t="s" s="3">
        <v>15</v>
      </c>
      <c r="B13" s="4"/>
      <c r="C13" s="4"/>
      <c r="D13" s="4"/>
      <c r="E13" t="n" s="5">
        <f>300.00</f>
        <v>0.0</v>
      </c>
      <c r="F13" s="4"/>
      <c r="G13" t="n" s="5">
        <f>0.00</f>
        <v>0.0</v>
      </c>
      <c r="H13" t="n" s="5">
        <f>F13</f>
        <v>0.0</v>
      </c>
      <c r="I13" t="n" s="5">
        <f>G13</f>
        <v>0.0</v>
      </c>
      <c r="J13" s="4"/>
      <c r="K13" t="n" s="5">
        <f>392.94</f>
        <v>0.0</v>
      </c>
      <c r="L13" s="4"/>
      <c r="M13" t="n" s="5">
        <f>1242.72</f>
        <v>0.0</v>
      </c>
      <c r="N13" s="4"/>
      <c r="O13" t="n" s="5">
        <f>1602.67</f>
        <v>0.0</v>
      </c>
    </row>
    <row r="14">
      <c r="A14" t="s" s="3">
        <v>16</v>
      </c>
      <c r="B14" s="4"/>
      <c r="C14" s="4"/>
      <c r="D14" t="n" s="5">
        <f>B14</f>
        <v>0.0</v>
      </c>
      <c r="E14" t="n" s="5">
        <f>C14</f>
        <v>0.0</v>
      </c>
      <c r="F14" t="n" s="5">
        <f>D14</f>
        <v>0.0</v>
      </c>
      <c r="G14" t="n" s="5">
        <f>E14</f>
        <v>0.0</v>
      </c>
      <c r="H14" s="4"/>
      <c r="I14" t="n" s="5">
        <f>158.08</f>
        <v>0.0</v>
      </c>
      <c r="J14" t="n" s="5">
        <f>H14</f>
        <v>0.0</v>
      </c>
      <c r="K14" t="n" s="5">
        <f>I14</f>
        <v>0.0</v>
      </c>
      <c r="L14" s="4"/>
      <c r="M14" t="n" s="5">
        <f>709.76</f>
        <v>0.0</v>
      </c>
      <c r="N14" s="4"/>
      <c r="O14" t="n" s="5">
        <f>157.72</f>
        <v>0.0</v>
      </c>
    </row>
    <row r="15">
      <c r="A15" t="s" s="3">
        <v>17</v>
      </c>
      <c r="B15" s="4"/>
      <c r="C15" s="4"/>
      <c r="D15" t="n" s="5">
        <f>B15</f>
        <v>0.0</v>
      </c>
      <c r="E15" t="n" s="5">
        <f>C15</f>
        <v>0.0</v>
      </c>
      <c r="F15" t="n" s="5">
        <f>D15</f>
        <v>0.0</v>
      </c>
      <c r="G15" t="n" s="5">
        <f>E15</f>
        <v>0.0</v>
      </c>
      <c r="H15" t="n" s="5">
        <f>F15</f>
        <v>0.0</v>
      </c>
      <c r="I15" t="n" s="5">
        <f>G15</f>
        <v>0.0</v>
      </c>
      <c r="J15" s="4"/>
      <c r="K15" t="n" s="5">
        <f>0.00</f>
        <v>0.0</v>
      </c>
      <c r="L15" t="n" s="5">
        <f>J15</f>
        <v>0.0</v>
      </c>
      <c r="M15" t="n" s="5">
        <f>K15</f>
        <v>0.0</v>
      </c>
      <c r="N15" t="n" s="5">
        <f>L15</f>
        <v>0.0</v>
      </c>
      <c r="O15" t="n" s="5">
        <f>M15</f>
        <v>0.0</v>
      </c>
    </row>
    <row r="16">
      <c r="A16" t="s" s="3">
        <v>18</v>
      </c>
      <c r="B16" s="4"/>
      <c r="C16" s="4"/>
      <c r="D16" t="n" s="5">
        <f>B16</f>
        <v>0.0</v>
      </c>
      <c r="E16" t="n" s="5">
        <f>C16</f>
        <v>0.0</v>
      </c>
      <c r="F16" s="4"/>
      <c r="G16" t="n" s="5">
        <f>10.50</f>
        <v>0.0</v>
      </c>
      <c r="H16" s="4"/>
      <c r="I16" t="n" s="5">
        <f>32.50</f>
        <v>0.0</v>
      </c>
      <c r="J16" s="4"/>
      <c r="K16" t="n" s="5">
        <f>6.40</f>
        <v>0.0</v>
      </c>
      <c r="L16" s="4"/>
      <c r="M16" t="n" s="5">
        <f>320.84</f>
        <v>0.0</v>
      </c>
      <c r="N16" s="4"/>
      <c r="O16" t="n" s="5">
        <f>370.94</f>
        <v>0.0</v>
      </c>
    </row>
    <row r="17">
      <c r="A17" t="s" s="3">
        <v>19</v>
      </c>
      <c r="B17" s="4"/>
      <c r="C17" s="4"/>
      <c r="D17" t="n" s="5">
        <f>B17</f>
        <v>0.0</v>
      </c>
      <c r="E17" t="n" s="5">
        <f>C17</f>
        <v>0.0</v>
      </c>
      <c r="F17" t="n" s="5">
        <f>D17</f>
        <v>0.0</v>
      </c>
      <c r="G17" t="n" s="5">
        <f>E17</f>
        <v>0.0</v>
      </c>
      <c r="H17" t="n" s="5">
        <f>F17</f>
        <v>0.0</v>
      </c>
      <c r="I17" t="n" s="5">
        <f>G17</f>
        <v>0.0</v>
      </c>
      <c r="J17" t="n" s="5">
        <f>H17</f>
        <v>0.0</v>
      </c>
      <c r="K17" t="n" s="5">
        <f>I17</f>
        <v>0.0</v>
      </c>
      <c r="L17" s="4"/>
      <c r="M17" t="n" s="5">
        <f>4000.00</f>
        <v>0.0</v>
      </c>
      <c r="N17" t="n" s="5">
        <f>L17</f>
        <v>0.0</v>
      </c>
      <c r="O17" t="n" s="5">
        <f>M17</f>
        <v>0.0</v>
      </c>
    </row>
    <row r="18">
      <c r="A18" t="s" s="3">
        <v>20</v>
      </c>
      <c r="B18" s="4"/>
      <c r="C18" s="4"/>
      <c r="D18" t="n" s="5">
        <f>B18</f>
        <v>0.0</v>
      </c>
      <c r="E18" t="n" s="5">
        <f>C18</f>
        <v>0.0</v>
      </c>
      <c r="F18" t="n" s="5">
        <f>D18</f>
        <v>0.0</v>
      </c>
      <c r="G18" t="n" s="5">
        <f>E18</f>
        <v>0.0</v>
      </c>
      <c r="H18" t="n" s="5">
        <f>F18</f>
        <v>0.0</v>
      </c>
      <c r="I18" t="n" s="5">
        <f>G18</f>
        <v>0.0</v>
      </c>
      <c r="J18" t="n" s="5">
        <f>H18</f>
        <v>0.0</v>
      </c>
      <c r="K18" t="n" s="5">
        <f>I18</f>
        <v>0.0</v>
      </c>
      <c r="L18" s="4"/>
      <c r="M18" t="n" s="5">
        <f>25000.00</f>
        <v>0.0</v>
      </c>
      <c r="N18" t="n" s="5">
        <f>L18</f>
        <v>0.0</v>
      </c>
      <c r="O18" t="n" s="5">
        <f>M18</f>
        <v>0.0</v>
      </c>
    </row>
    <row r="19">
      <c r="A19" t="s" s="3">
        <v>21</v>
      </c>
      <c r="B19" s="4"/>
      <c r="C19" s="4"/>
      <c r="D19" s="4"/>
      <c r="E19" t="n" s="5">
        <f>5000.00</f>
        <v>0.0</v>
      </c>
      <c r="F19" t="n" s="5">
        <f>D19</f>
        <v>0.0</v>
      </c>
      <c r="G19" t="n" s="5">
        <f>E19</f>
        <v>0.0</v>
      </c>
      <c r="H19" t="n" s="5">
        <f>F19</f>
        <v>0.0</v>
      </c>
      <c r="I19" t="n" s="5">
        <f>G19</f>
        <v>0.0</v>
      </c>
      <c r="J19" t="n" s="5">
        <f>H19</f>
        <v>0.0</v>
      </c>
      <c r="K19" t="n" s="5">
        <f>I19</f>
        <v>0.0</v>
      </c>
      <c r="L19" t="n" s="5">
        <f>9905.00</f>
        <v>0.0</v>
      </c>
      <c r="M19" s="4"/>
      <c r="N19" t="n" s="5">
        <f>9337.50</f>
        <v>0.0</v>
      </c>
      <c r="O19" s="4"/>
    </row>
    <row r="20">
      <c r="A20" t="s" s="3">
        <v>22</v>
      </c>
      <c r="B20" s="5"/>
      <c r="C20" s="4"/>
      <c r="D20" t="n" s="5">
        <f>B20</f>
        <v>0.0</v>
      </c>
      <c r="E20" t="n" s="5">
        <f>C20</f>
        <v>0.0</v>
      </c>
      <c r="F20" t="n" s="5">
        <f>D20</f>
        <v>0.0</v>
      </c>
      <c r="G20" t="n" s="5">
        <f>E20</f>
        <v>0.0</v>
      </c>
      <c r="H20" t="n" s="5">
        <f>F20</f>
        <v>0.0</v>
      </c>
      <c r="I20" t="n" s="5">
        <f>G20</f>
        <v>0.0</v>
      </c>
      <c r="J20" t="n" s="5">
        <f>H20</f>
        <v>0.0</v>
      </c>
      <c r="K20" t="n" s="5">
        <f>I20</f>
        <v>0.0</v>
      </c>
      <c r="L20" t="n" s="5">
        <f>J20</f>
        <v>0.0</v>
      </c>
      <c r="M20" t="n" s="5">
        <f>K20</f>
        <v>0.0</v>
      </c>
      <c r="N20" t="n" s="5">
        <f>L20</f>
        <v>0.0</v>
      </c>
      <c r="O20" t="n" s="5">
        <f>M20</f>
        <v>0.0</v>
      </c>
    </row>
    <row r="21">
      <c r="A21" t="s" s="3">
        <v>23</v>
      </c>
      <c r="B21" s="4"/>
      <c r="C21" s="4"/>
      <c r="D21" t="n" s="5">
        <f>B21</f>
        <v>0.0</v>
      </c>
      <c r="E21" t="n" s="5">
        <f>C21</f>
        <v>0.0</v>
      </c>
      <c r="F21" t="n" s="5">
        <f>D21</f>
        <v>0.0</v>
      </c>
      <c r="G21" t="n" s="5">
        <f>E21</f>
        <v>0.0</v>
      </c>
      <c r="H21" t="n" s="5">
        <f>F21</f>
        <v>0.0</v>
      </c>
      <c r="I21" t="n" s="5">
        <f>G21</f>
        <v>0.0</v>
      </c>
      <c r="J21" t="n" s="5">
        <f>H21</f>
        <v>0.0</v>
      </c>
      <c r="K21" t="n" s="5">
        <f>I21</f>
        <v>0.0</v>
      </c>
      <c r="L21" s="4"/>
      <c r="M21" t="n" s="5">
        <f>2250.00</f>
        <v>0.0</v>
      </c>
      <c r="N21" t="n" s="5">
        <f>L21</f>
        <v>0.0</v>
      </c>
      <c r="O21" t="n" s="5">
        <f>M21</f>
        <v>0.0</v>
      </c>
    </row>
    <row r="22">
      <c r="A22" t="s" s="3">
        <v>24</v>
      </c>
      <c r="B22" s="4"/>
      <c r="C22" s="4"/>
      <c r="D22" t="n" s="5">
        <f>B22</f>
        <v>0.0</v>
      </c>
      <c r="E22" t="n" s="5">
        <f>C22</f>
        <v>0.0</v>
      </c>
      <c r="F22" t="n" s="5">
        <f>D22</f>
        <v>0.0</v>
      </c>
      <c r="G22" t="n" s="5">
        <f>E22</f>
        <v>0.0</v>
      </c>
      <c r="H22" t="n" s="5">
        <f>F22</f>
        <v>0.0</v>
      </c>
      <c r="I22" t="n" s="5">
        <f>G22</f>
        <v>0.0</v>
      </c>
      <c r="J22" t="n" s="5">
        <f>H22</f>
        <v>0.0</v>
      </c>
      <c r="K22" t="n" s="5">
        <f>I22</f>
        <v>0.0</v>
      </c>
      <c r="L22" t="n" s="5">
        <f>89.50</f>
        <v>0.0</v>
      </c>
      <c r="M22" s="4"/>
      <c r="N22" t="n" s="5">
        <f>L22</f>
        <v>0.0</v>
      </c>
      <c r="O22" t="n" s="5">
        <f>M22</f>
        <v>0.0</v>
      </c>
    </row>
    <row r="23">
      <c r="A23" t="s" s="3">
        <v>25</v>
      </c>
      <c r="B23" s="4"/>
      <c r="C23" s="4"/>
      <c r="D23" t="n" s="5">
        <f>B23</f>
        <v>0.0</v>
      </c>
      <c r="E23" t="n" s="5">
        <f>C23</f>
        <v>0.0</v>
      </c>
      <c r="F23" s="4"/>
      <c r="G23" t="n" s="5">
        <f>190.00</f>
        <v>0.0</v>
      </c>
      <c r="H23" s="4"/>
      <c r="I23" t="n" s="5">
        <f>280.00</f>
        <v>0.0</v>
      </c>
      <c r="J23" s="4"/>
      <c r="K23" t="n" s="5">
        <f>680.00</f>
        <v>0.0</v>
      </c>
      <c r="L23" s="4"/>
      <c r="M23" t="n" s="5">
        <f>1390.00</f>
        <v>0.0</v>
      </c>
      <c r="N23" s="4"/>
      <c r="O23" t="n" s="5">
        <f>1477.50</f>
        <v>0.0</v>
      </c>
    </row>
    <row r="24">
      <c r="A24" t="s" s="3">
        <v>26</v>
      </c>
      <c r="B24" s="4"/>
      <c r="C24" s="4"/>
      <c r="D24" t="n" s="5">
        <f>B24</f>
        <v>0.0</v>
      </c>
      <c r="E24" t="n" s="5">
        <f>C24</f>
        <v>0.0</v>
      </c>
      <c r="F24" t="n" s="5">
        <f>D24</f>
        <v>0.0</v>
      </c>
      <c r="G24" t="n" s="5">
        <f>E24</f>
        <v>0.0</v>
      </c>
      <c r="H24" s="4"/>
      <c r="I24" t="n" s="5">
        <f>323.00</f>
        <v>0.0</v>
      </c>
      <c r="J24" s="4"/>
      <c r="K24" t="n" s="5">
        <f>745.00</f>
        <v>0.0</v>
      </c>
      <c r="L24" s="4"/>
      <c r="M24" t="n" s="5">
        <f>2199.00</f>
        <v>0.0</v>
      </c>
      <c r="N24" s="4"/>
      <c r="O24" t="n" s="5">
        <f>2246.50</f>
        <v>0.0</v>
      </c>
    </row>
    <row r="25">
      <c r="A25" t="s" s="3">
        <v>27</v>
      </c>
      <c r="B25" s="4"/>
      <c r="C25" s="4"/>
      <c r="D25" t="n" s="5">
        <f>B25</f>
        <v>0.0</v>
      </c>
      <c r="E25" t="n" s="5">
        <f>C25</f>
        <v>0.0</v>
      </c>
      <c r="F25" s="4"/>
      <c r="G25" t="n" s="5">
        <f>131.25</f>
        <v>0.0</v>
      </c>
      <c r="H25" t="n" s="5">
        <f>F25</f>
        <v>0.0</v>
      </c>
      <c r="I25" t="n" s="5">
        <f>G25</f>
        <v>0.0</v>
      </c>
      <c r="J25" t="n" s="5">
        <f>H25</f>
        <v>0.0</v>
      </c>
      <c r="K25" t="n" s="5">
        <f>I25</f>
        <v>0.0</v>
      </c>
      <c r="L25" s="4"/>
      <c r="M25" t="n" s="5">
        <f>2251.97</f>
        <v>0.0</v>
      </c>
      <c r="N25" s="4"/>
      <c r="O25" t="n" s="5">
        <f>2351.97</f>
        <v>0.0</v>
      </c>
    </row>
    <row r="26">
      <c r="A26" t="s" s="3">
        <v>28</v>
      </c>
      <c r="B26" s="4"/>
      <c r="C26" s="4"/>
      <c r="D26" t="n" s="5">
        <f>B26</f>
        <v>0.0</v>
      </c>
      <c r="E26" t="n" s="5">
        <f>C26</f>
        <v>0.0</v>
      </c>
      <c r="F26" t="n" s="5">
        <f>D26</f>
        <v>0.0</v>
      </c>
      <c r="G26" t="n" s="5">
        <f>E26</f>
        <v>0.0</v>
      </c>
      <c r="H26" s="4"/>
      <c r="I26" t="n" s="5">
        <f>108.00</f>
        <v>0.0</v>
      </c>
      <c r="J26" t="n" s="5">
        <f>H26</f>
        <v>0.0</v>
      </c>
      <c r="K26" t="n" s="5">
        <f>I26</f>
        <v>0.0</v>
      </c>
      <c r="L26" s="4"/>
      <c r="M26" t="n" s="5">
        <f>138.00</f>
        <v>0.0</v>
      </c>
      <c r="N26" t="n" s="5">
        <f>L26</f>
        <v>0.0</v>
      </c>
      <c r="O26" t="n" s="5">
        <f>M26</f>
        <v>0.0</v>
      </c>
    </row>
    <row r="27">
      <c r="A27" t="s" s="3">
        <v>29</v>
      </c>
      <c r="B27" s="4"/>
      <c r="C27" s="4"/>
      <c r="D27" t="n" s="5">
        <f>B27</f>
        <v>0.0</v>
      </c>
      <c r="E27" t="n" s="5">
        <f>C27</f>
        <v>0.0</v>
      </c>
      <c r="F27" t="n" s="5">
        <f>D27</f>
        <v>0.0</v>
      </c>
      <c r="G27" t="n" s="5">
        <f>E27</f>
        <v>0.0</v>
      </c>
      <c r="H27" t="n" s="5">
        <f>F27</f>
        <v>0.0</v>
      </c>
      <c r="I27" t="n" s="5">
        <f>G27</f>
        <v>0.0</v>
      </c>
      <c r="J27" t="n" s="5">
        <f>H27</f>
        <v>0.0</v>
      </c>
      <c r="K27" t="n" s="5">
        <f>I27</f>
        <v>0.0</v>
      </c>
      <c r="L27" s="4"/>
      <c r="M27" t="n" s="5">
        <f>250.00</f>
        <v>0.0</v>
      </c>
      <c r="N27" t="n" s="5">
        <f>L27</f>
        <v>0.0</v>
      </c>
      <c r="O27" t="n" s="5">
        <f>M27</f>
        <v>0.0</v>
      </c>
    </row>
    <row r="28">
      <c r="A28" t="s" s="3">
        <v>30</v>
      </c>
      <c r="B28" s="4"/>
      <c r="C28" s="4"/>
      <c r="D28" t="n" s="5">
        <f>B28</f>
        <v>0.0</v>
      </c>
      <c r="E28" t="n" s="5">
        <f>C28</f>
        <v>0.0</v>
      </c>
      <c r="F28" t="n" s="5">
        <f>D28</f>
        <v>0.0</v>
      </c>
      <c r="G28" t="n" s="5">
        <f>E28</f>
        <v>0.0</v>
      </c>
      <c r="H28" t="n" s="5">
        <f>F28</f>
        <v>0.0</v>
      </c>
      <c r="I28" t="n" s="5">
        <f>G28</f>
        <v>0.0</v>
      </c>
      <c r="J28" s="4"/>
      <c r="K28" t="n" s="5">
        <f>50.00</f>
        <v>0.0</v>
      </c>
      <c r="L28" t="n" s="5">
        <f>J28</f>
        <v>0.0</v>
      </c>
      <c r="M28" t="n" s="5">
        <f>K28</f>
        <v>0.0</v>
      </c>
      <c r="N28" t="n" s="5">
        <f>L28</f>
        <v>0.0</v>
      </c>
      <c r="O28" t="n" s="5">
        <f>M28</f>
        <v>0.0</v>
      </c>
    </row>
    <row r="29">
      <c r="A29" t="s" s="3">
        <v>31</v>
      </c>
      <c r="B29" s="4"/>
      <c r="C29" s="4"/>
      <c r="D29" t="n" s="5">
        <f>B29</f>
        <v>0.0</v>
      </c>
      <c r="E29" t="n" s="5">
        <f>C29</f>
        <v>0.0</v>
      </c>
      <c r="F29" s="4"/>
      <c r="G29" t="n" s="5">
        <f>70.00</f>
        <v>0.0</v>
      </c>
      <c r="H29" t="n" s="5">
        <f>F29</f>
        <v>0.0</v>
      </c>
      <c r="I29" t="n" s="5">
        <f>G29</f>
        <v>0.0</v>
      </c>
      <c r="J29" s="4"/>
      <c r="K29" t="n" s="5">
        <f>140.00</f>
        <v>0.0</v>
      </c>
      <c r="L29" s="4"/>
      <c r="M29" t="n" s="5">
        <f>110.00</f>
        <v>0.0</v>
      </c>
      <c r="N29" t="n" s="5">
        <f>L29</f>
        <v>0.0</v>
      </c>
      <c r="O29" t="n" s="5">
        <f>M29</f>
        <v>0.0</v>
      </c>
    </row>
    <row r="30">
      <c r="A30" t="s" s="3">
        <v>32</v>
      </c>
      <c r="B30" s="4"/>
      <c r="C30" s="4"/>
      <c r="D30" t="n" s="5">
        <f>B30</f>
        <v>0.0</v>
      </c>
      <c r="E30" t="n" s="5">
        <f>C30</f>
        <v>0.0</v>
      </c>
      <c r="F30" t="n" s="5">
        <f>D30</f>
        <v>0.0</v>
      </c>
      <c r="G30" t="n" s="5">
        <f>E30</f>
        <v>0.0</v>
      </c>
      <c r="H30" t="n" s="5">
        <f>F30</f>
        <v>0.0</v>
      </c>
      <c r="I30" t="n" s="5">
        <f>G30</f>
        <v>0.0</v>
      </c>
      <c r="J30" t="n" s="5">
        <f>H30</f>
        <v>0.0</v>
      </c>
      <c r="K30" t="n" s="5">
        <f>I30</f>
        <v>0.0</v>
      </c>
      <c r="L30" s="4"/>
      <c r="M30" t="n" s="5">
        <f>44.00</f>
        <v>0.0</v>
      </c>
      <c r="N30" s="4"/>
      <c r="O30" t="n" s="5">
        <f>912.75</f>
        <v>0.0</v>
      </c>
    </row>
    <row r="31">
      <c r="A31" t="s" s="3">
        <v>33</v>
      </c>
      <c r="B31" s="4"/>
      <c r="C31" s="4"/>
      <c r="D31" t="n" s="5">
        <f>B31</f>
        <v>0.0</v>
      </c>
      <c r="E31" t="n" s="5">
        <f>C31</f>
        <v>0.0</v>
      </c>
      <c r="F31" t="n" s="5">
        <f>D31</f>
        <v>0.0</v>
      </c>
      <c r="G31" t="n" s="5">
        <f>E31</f>
        <v>0.0</v>
      </c>
      <c r="H31" t="n" s="5">
        <f>F31</f>
        <v>0.0</v>
      </c>
      <c r="I31" t="n" s="5">
        <f>G31</f>
        <v>0.0</v>
      </c>
      <c r="J31" t="n" s="5">
        <f>H31</f>
        <v>0.0</v>
      </c>
      <c r="K31" t="n" s="5">
        <f>I31</f>
        <v>0.0</v>
      </c>
      <c r="L31" s="4"/>
      <c r="M31" t="n" s="5">
        <f>503.55</f>
        <v>0.0</v>
      </c>
      <c r="N31" t="n" s="5">
        <f>L31</f>
        <v>0.0</v>
      </c>
      <c r="O31" t="n" s="5">
        <f>M31</f>
        <v>0.0</v>
      </c>
    </row>
    <row r="32">
      <c r="A32" t="s" s="3">
        <v>34</v>
      </c>
      <c r="B32" s="4"/>
      <c r="C32" s="4"/>
      <c r="D32" t="n" s="5">
        <f>B32</f>
        <v>0.0</v>
      </c>
      <c r="E32" t="n" s="5">
        <f>C32</f>
        <v>0.0</v>
      </c>
      <c r="F32" t="n" s="5">
        <f>D32</f>
        <v>0.0</v>
      </c>
      <c r="G32" t="n" s="5">
        <f>E32</f>
        <v>0.0</v>
      </c>
      <c r="H32" t="n" s="5">
        <f>F32</f>
        <v>0.0</v>
      </c>
      <c r="I32" t="n" s="5">
        <f>G32</f>
        <v>0.0</v>
      </c>
      <c r="J32" t="n" s="5">
        <f>H32</f>
        <v>0.0</v>
      </c>
      <c r="K32" t="n" s="5">
        <f>I32</f>
        <v>0.0</v>
      </c>
      <c r="L32" t="n" s="5">
        <f>J32</f>
        <v>0.0</v>
      </c>
      <c r="M32" t="n" s="5">
        <f>K32</f>
        <v>0.0</v>
      </c>
      <c r="N32" t="n" s="5">
        <f>405.00</f>
        <v>0.0</v>
      </c>
      <c r="O32" s="4"/>
    </row>
    <row r="33">
      <c r="A33" t="s" s="3">
        <v>35</v>
      </c>
      <c r="B33" s="4"/>
      <c r="C33" s="4"/>
      <c r="D33" t="n" s="5">
        <f>B33</f>
        <v>0.0</v>
      </c>
      <c r="E33" t="n" s="5">
        <f>C33</f>
        <v>0.0</v>
      </c>
      <c r="F33" t="n" s="5">
        <f>D33</f>
        <v>0.0</v>
      </c>
      <c r="G33" t="n" s="5">
        <f>E33</f>
        <v>0.0</v>
      </c>
      <c r="H33" t="n" s="5">
        <f>F33</f>
        <v>0.0</v>
      </c>
      <c r="I33" t="n" s="5">
        <f>G33</f>
        <v>0.0</v>
      </c>
      <c r="J33" t="n" s="5">
        <f>H33</f>
        <v>0.0</v>
      </c>
      <c r="K33" t="n" s="5">
        <f>I33</f>
        <v>0.0</v>
      </c>
      <c r="L33" t="n" s="5">
        <f>74.86</f>
        <v>0.0</v>
      </c>
      <c r="M33" s="4"/>
      <c r="N33" t="n" s="5">
        <f>L33</f>
        <v>0.0</v>
      </c>
      <c r="O33" t="n" s="5">
        <f>M33</f>
        <v>0.0</v>
      </c>
    </row>
    <row r="34">
      <c r="A34" t="s" s="3">
        <v>36</v>
      </c>
      <c r="B34" s="4"/>
      <c r="C34" s="4"/>
      <c r="D34" t="n" s="5">
        <f>B34</f>
        <v>0.0</v>
      </c>
      <c r="E34" t="n" s="5">
        <f>C34</f>
        <v>0.0</v>
      </c>
      <c r="F34" t="n" s="5">
        <f>D34</f>
        <v>0.0</v>
      </c>
      <c r="G34" t="n" s="5">
        <f>E34</f>
        <v>0.0</v>
      </c>
      <c r="H34" t="n" s="5">
        <f>F34</f>
        <v>0.0</v>
      </c>
      <c r="I34" t="n" s="5">
        <f>G34</f>
        <v>0.0</v>
      </c>
      <c r="J34" t="n" s="5">
        <f>H34</f>
        <v>0.0</v>
      </c>
      <c r="K34" t="n" s="5">
        <f>I34</f>
        <v>0.0</v>
      </c>
      <c r="L34" t="n" s="5">
        <f>39.98</f>
        <v>0.0</v>
      </c>
      <c r="M34" s="4"/>
      <c r="N34" t="n" s="5">
        <f>113.96</f>
        <v>0.0</v>
      </c>
      <c r="O34" s="4"/>
    </row>
    <row r="35">
      <c r="A35" t="s" s="3">
        <v>37</v>
      </c>
      <c r="B35" s="4"/>
      <c r="C35" s="4"/>
      <c r="D35" t="n" s="5">
        <f>B35</f>
        <v>0.0</v>
      </c>
      <c r="E35" t="n" s="5">
        <f>C35</f>
        <v>0.0</v>
      </c>
      <c r="F35" t="n" s="5">
        <f>D35</f>
        <v>0.0</v>
      </c>
      <c r="G35" t="n" s="5">
        <f>E35</f>
        <v>0.0</v>
      </c>
      <c r="H35" t="n" s="5">
        <f>F35</f>
        <v>0.0</v>
      </c>
      <c r="I35" t="n" s="5">
        <f>G35</f>
        <v>0.0</v>
      </c>
      <c r="J35" t="n" s="5">
        <f>116.56</f>
        <v>0.0</v>
      </c>
      <c r="K35" s="4"/>
      <c r="L35" t="n" s="5">
        <f>296.85</f>
        <v>0.0</v>
      </c>
      <c r="M35" s="4"/>
      <c r="N35" t="n" s="5">
        <f>349.41</f>
        <v>0.0</v>
      </c>
      <c r="O35" s="4"/>
    </row>
    <row r="36">
      <c r="A36" t="s" s="3">
        <v>38</v>
      </c>
      <c r="B36" s="4"/>
      <c r="C36" s="4"/>
      <c r="D36" t="n" s="5">
        <f>B36</f>
        <v>0.0</v>
      </c>
      <c r="E36" t="n" s="5">
        <f>C36</f>
        <v>0.0</v>
      </c>
      <c r="F36" t="n" s="5">
        <f>D36</f>
        <v>0.0</v>
      </c>
      <c r="G36" t="n" s="5">
        <f>E36</f>
        <v>0.0</v>
      </c>
      <c r="H36" t="n" s="5">
        <f>F36</f>
        <v>0.0</v>
      </c>
      <c r="I36" t="n" s="5">
        <f>G36</f>
        <v>0.0</v>
      </c>
      <c r="J36" t="n" s="5">
        <f>H36</f>
        <v>0.0</v>
      </c>
      <c r="K36" t="n" s="5">
        <f>I36</f>
        <v>0.0</v>
      </c>
      <c r="L36" t="n" s="5">
        <f>112.00</f>
        <v>0.0</v>
      </c>
      <c r="M36" s="4"/>
      <c r="N36" t="n" s="5">
        <f>L36</f>
        <v>0.0</v>
      </c>
      <c r="O36" t="n" s="5">
        <f>M36</f>
        <v>0.0</v>
      </c>
    </row>
    <row r="37">
      <c r="A37" t="s" s="3">
        <v>39</v>
      </c>
      <c r="B37" s="4"/>
      <c r="C37" s="4"/>
      <c r="D37" t="n" s="5">
        <f>B37</f>
        <v>0.0</v>
      </c>
      <c r="E37" t="n" s="5">
        <f>C37</f>
        <v>0.0</v>
      </c>
      <c r="F37" t="n" s="5">
        <f>D37</f>
        <v>0.0</v>
      </c>
      <c r="G37" t="n" s="5">
        <f>E37</f>
        <v>0.0</v>
      </c>
      <c r="H37" t="n" s="5">
        <f>F37</f>
        <v>0.0</v>
      </c>
      <c r="I37" t="n" s="5">
        <f>G37</f>
        <v>0.0</v>
      </c>
      <c r="J37" t="n" s="5">
        <f>H37</f>
        <v>0.0</v>
      </c>
      <c r="K37" t="n" s="5">
        <f>I37</f>
        <v>0.0</v>
      </c>
      <c r="L37" t="n" s="5">
        <f>241.23</f>
        <v>0.0</v>
      </c>
      <c r="M37" s="4"/>
      <c r="N37" t="n" s="5">
        <f>L37</f>
        <v>0.0</v>
      </c>
      <c r="O37" t="n" s="5">
        <f>M37</f>
        <v>0.0</v>
      </c>
    </row>
    <row r="38">
      <c r="A38" t="s" s="3">
        <v>40</v>
      </c>
      <c r="B38" s="4"/>
      <c r="C38" s="4"/>
      <c r="D38" t="n" s="5">
        <f>B38</f>
        <v>0.0</v>
      </c>
      <c r="E38" t="n" s="5">
        <f>C38</f>
        <v>0.0</v>
      </c>
      <c r="F38" t="n" s="5">
        <f>D38</f>
        <v>0.0</v>
      </c>
      <c r="G38" t="n" s="5">
        <f>E38</f>
        <v>0.0</v>
      </c>
      <c r="H38" t="n" s="5">
        <f>F38</f>
        <v>0.0</v>
      </c>
      <c r="I38" t="n" s="5">
        <f>G38</f>
        <v>0.0</v>
      </c>
      <c r="J38" t="n" s="5">
        <f>108.09</f>
        <v>0.0</v>
      </c>
      <c r="K38" s="4"/>
      <c r="L38" t="n" s="5">
        <f>155.07</f>
        <v>0.0</v>
      </c>
      <c r="M38" s="4"/>
      <c r="N38" t="n" s="5">
        <f>L38</f>
        <v>0.0</v>
      </c>
      <c r="O38" t="n" s="5">
        <f>M38</f>
        <v>0.0</v>
      </c>
    </row>
    <row r="39">
      <c r="A39" t="s" s="3">
        <v>41</v>
      </c>
      <c r="B39" s="4"/>
      <c r="C39" s="4"/>
      <c r="D39" t="n" s="5">
        <f>B39</f>
        <v>0.0</v>
      </c>
      <c r="E39" t="n" s="5">
        <f>C39</f>
        <v>0.0</v>
      </c>
      <c r="F39" t="n" s="5">
        <f>D39</f>
        <v>0.0</v>
      </c>
      <c r="G39" t="n" s="5">
        <f>E39</f>
        <v>0.0</v>
      </c>
      <c r="H39" t="n" s="5">
        <f>F39</f>
        <v>0.0</v>
      </c>
      <c r="I39" t="n" s="5">
        <f>G39</f>
        <v>0.0</v>
      </c>
      <c r="J39" t="n" s="5">
        <f>H39</f>
        <v>0.0</v>
      </c>
      <c r="K39" t="n" s="5">
        <f>I39</f>
        <v>0.0</v>
      </c>
      <c r="L39" t="n" s="5">
        <f>191.64</f>
        <v>0.0</v>
      </c>
      <c r="M39" s="4"/>
      <c r="N39" t="n" s="5">
        <f>234.04</f>
        <v>0.0</v>
      </c>
      <c r="O39" s="4"/>
    </row>
    <row r="40">
      <c r="A40" t="s" s="3">
        <v>42</v>
      </c>
      <c r="B40" s="4"/>
      <c r="C40" s="4"/>
      <c r="D40" t="n" s="5">
        <f>B40</f>
        <v>0.0</v>
      </c>
      <c r="E40" t="n" s="5">
        <f>C40</f>
        <v>0.0</v>
      </c>
      <c r="F40" t="n" s="5">
        <f>D40</f>
        <v>0.0</v>
      </c>
      <c r="G40" t="n" s="5">
        <f>E40</f>
        <v>0.0</v>
      </c>
      <c r="H40" t="n" s="5">
        <f>158.08</f>
        <v>0.0</v>
      </c>
      <c r="I40" s="4"/>
      <c r="J40" t="n" s="5">
        <f>247.17</f>
        <v>0.0</v>
      </c>
      <c r="K40" s="4"/>
      <c r="L40" t="n" s="5">
        <f>329.62</f>
        <v>0.0</v>
      </c>
      <c r="M40" s="4"/>
      <c r="N40" t="n" s="5">
        <f>353.12</f>
        <v>0.0</v>
      </c>
      <c r="O40" s="4"/>
    </row>
    <row r="41">
      <c r="A41" t="s" s="3">
        <v>43</v>
      </c>
      <c r="B41" s="4"/>
      <c r="C41" s="4"/>
      <c r="D41" t="n" s="5">
        <f>B41</f>
        <v>0.0</v>
      </c>
      <c r="E41" t="n" s="5">
        <f>C41</f>
        <v>0.0</v>
      </c>
      <c r="F41" t="n" s="5">
        <f>D41</f>
        <v>0.0</v>
      </c>
      <c r="G41" t="n" s="5">
        <f>E41</f>
        <v>0.0</v>
      </c>
      <c r="H41" t="n" s="5">
        <f>F41</f>
        <v>0.0</v>
      </c>
      <c r="I41" t="n" s="5">
        <f>G41</f>
        <v>0.0</v>
      </c>
      <c r="J41" t="n" s="5">
        <f>H41</f>
        <v>0.0</v>
      </c>
      <c r="K41" t="n" s="5">
        <f>I41</f>
        <v>0.0</v>
      </c>
      <c r="L41" t="n" s="5">
        <f>215.66</f>
        <v>0.0</v>
      </c>
      <c r="M41" s="4"/>
      <c r="N41" t="n" s="5">
        <f>L41</f>
        <v>0.0</v>
      </c>
      <c r="O41" t="n" s="5">
        <f>M41</f>
        <v>0.0</v>
      </c>
    </row>
    <row r="42">
      <c r="A42" t="s" s="3">
        <v>44</v>
      </c>
      <c r="B42" s="4"/>
      <c r="C42" s="4"/>
      <c r="D42" t="n" s="5">
        <f>B42</f>
        <v>0.0</v>
      </c>
      <c r="E42" t="n" s="5">
        <f>C42</f>
        <v>0.0</v>
      </c>
      <c r="F42" t="n" s="5">
        <f>D42</f>
        <v>0.0</v>
      </c>
      <c r="G42" t="n" s="5">
        <f>E42</f>
        <v>0.0</v>
      </c>
      <c r="H42" t="n" s="5">
        <f>F42</f>
        <v>0.0</v>
      </c>
      <c r="I42" t="n" s="5">
        <f>G42</f>
        <v>0.0</v>
      </c>
      <c r="J42" t="n" s="5">
        <f>H42</f>
        <v>0.0</v>
      </c>
      <c r="K42" t="n" s="5">
        <f>I42</f>
        <v>0.0</v>
      </c>
      <c r="L42" t="n" s="5">
        <f>J42</f>
        <v>0.0</v>
      </c>
      <c r="M42" t="n" s="5">
        <f>K42</f>
        <v>0.0</v>
      </c>
      <c r="N42" t="n" s="5">
        <f>75.00</f>
        <v>0.0</v>
      </c>
      <c r="O42" s="4"/>
    </row>
    <row r="43">
      <c r="A43" t="s" s="3">
        <v>45</v>
      </c>
      <c r="B43" s="4"/>
      <c r="C43" s="4"/>
      <c r="D43" t="n" s="5">
        <f>B43</f>
        <v>0.0</v>
      </c>
      <c r="E43" t="n" s="5">
        <f>C43</f>
        <v>0.0</v>
      </c>
      <c r="F43" t="n" s="5">
        <f>D43</f>
        <v>0.0</v>
      </c>
      <c r="G43" t="n" s="5">
        <f>E43</f>
        <v>0.0</v>
      </c>
      <c r="H43" t="n" s="5">
        <f>250.00</f>
        <v>0.0</v>
      </c>
      <c r="I43" s="4"/>
      <c r="J43" t="n" s="5">
        <f>H43</f>
        <v>0.0</v>
      </c>
      <c r="K43" t="n" s="5">
        <f>I43</f>
        <v>0.0</v>
      </c>
      <c r="L43" t="n" s="5">
        <f>325.00</f>
        <v>0.0</v>
      </c>
      <c r="M43" s="4"/>
      <c r="N43" t="n" s="5">
        <f>640.00</f>
        <v>0.0</v>
      </c>
      <c r="O43" s="4"/>
    </row>
    <row r="44">
      <c r="A44" t="s" s="3">
        <v>46</v>
      </c>
      <c r="B44" s="4"/>
      <c r="C44" s="4"/>
      <c r="D44" t="n" s="5">
        <f>B44</f>
        <v>0.0</v>
      </c>
      <c r="E44" t="n" s="5">
        <f>C44</f>
        <v>0.0</v>
      </c>
      <c r="F44" t="n" s="5">
        <f>D44</f>
        <v>0.0</v>
      </c>
      <c r="G44" t="n" s="5">
        <f>E44</f>
        <v>0.0</v>
      </c>
      <c r="H44" t="n" s="5">
        <f>F44</f>
        <v>0.0</v>
      </c>
      <c r="I44" t="n" s="5">
        <f>G44</f>
        <v>0.0</v>
      </c>
      <c r="J44" t="n" s="5">
        <f>55.00</f>
        <v>0.0</v>
      </c>
      <c r="K44" s="4"/>
      <c r="L44" t="n" s="5">
        <f>J44</f>
        <v>0.0</v>
      </c>
      <c r="M44" t="n" s="5">
        <f>K44</f>
        <v>0.0</v>
      </c>
      <c r="N44" t="n" s="5">
        <f>L44</f>
        <v>0.0</v>
      </c>
      <c r="O44" t="n" s="5">
        <f>M44</f>
        <v>0.0</v>
      </c>
    </row>
    <row r="45">
      <c r="A45" t="s" s="3">
        <v>47</v>
      </c>
      <c r="B45" s="4"/>
      <c r="C45" s="4"/>
      <c r="D45" t="n" s="5">
        <f>300.00</f>
        <v>0.0</v>
      </c>
      <c r="E45" s="4"/>
      <c r="F45" t="n" s="5">
        <f>D45</f>
        <v>0.0</v>
      </c>
      <c r="G45" t="n" s="5">
        <f>E45</f>
        <v>0.0</v>
      </c>
      <c r="H45" t="n" s="5">
        <f>F45</f>
        <v>0.0</v>
      </c>
      <c r="I45" t="n" s="5">
        <f>G45</f>
        <v>0.0</v>
      </c>
      <c r="J45" t="n" s="5">
        <f>H45</f>
        <v>0.0</v>
      </c>
      <c r="K45" t="n" s="5">
        <f>I45</f>
        <v>0.0</v>
      </c>
      <c r="L45" t="n" s="5">
        <f>400.00</f>
        <v>0.0</v>
      </c>
      <c r="M45" s="4"/>
      <c r="N45" t="n" s="5">
        <f>L45</f>
        <v>0.0</v>
      </c>
      <c r="O45" t="n" s="5">
        <f>M45</f>
        <v>0.0</v>
      </c>
    </row>
    <row r="46">
      <c r="A46" t="s" s="3">
        <v>48</v>
      </c>
      <c r="B46" s="4"/>
      <c r="C46" s="4"/>
      <c r="D46" t="n" s="5">
        <f>B46</f>
        <v>0.0</v>
      </c>
      <c r="E46" t="n" s="5">
        <f>C46</f>
        <v>0.0</v>
      </c>
      <c r="F46" t="n" s="5">
        <f>D46</f>
        <v>0.0</v>
      </c>
      <c r="G46" t="n" s="5">
        <f>E46</f>
        <v>0.0</v>
      </c>
      <c r="H46" t="n" s="5">
        <f>F46</f>
        <v>0.0</v>
      </c>
      <c r="I46" t="n" s="5">
        <f>G46</f>
        <v>0.0</v>
      </c>
      <c r="J46" t="n" s="5">
        <f>H46</f>
        <v>0.0</v>
      </c>
      <c r="K46" t="n" s="5">
        <f>I46</f>
        <v>0.0</v>
      </c>
      <c r="L46" t="n" s="5">
        <f>185.00</f>
        <v>0.0</v>
      </c>
      <c r="M46" s="4"/>
      <c r="N46" t="n" s="5">
        <f>L46</f>
        <v>0.0</v>
      </c>
      <c r="O46" t="n" s="5">
        <f>M46</f>
        <v>0.0</v>
      </c>
    </row>
    <row r="47">
      <c r="A47" t="s" s="3">
        <v>49</v>
      </c>
      <c r="B47" s="4"/>
      <c r="C47" s="4"/>
      <c r="D47" t="n" s="5">
        <f>B47</f>
        <v>0.0</v>
      </c>
      <c r="E47" t="n" s="5">
        <f>C47</f>
        <v>0.0</v>
      </c>
      <c r="F47" t="n" s="5">
        <f>D47</f>
        <v>0.0</v>
      </c>
      <c r="G47" t="n" s="5">
        <f>E47</f>
        <v>0.0</v>
      </c>
      <c r="H47" t="n" s="5">
        <f>F47</f>
        <v>0.0</v>
      </c>
      <c r="I47" t="n" s="5">
        <f>G47</f>
        <v>0.0</v>
      </c>
      <c r="J47" t="n" s="5">
        <f>H47</f>
        <v>0.0</v>
      </c>
      <c r="K47" t="n" s="5">
        <f>I47</f>
        <v>0.0</v>
      </c>
      <c r="L47" t="n" s="5">
        <f>755.00</f>
        <v>0.0</v>
      </c>
      <c r="M47" s="4"/>
      <c r="N47" t="n" s="5">
        <f>L47</f>
        <v>0.0</v>
      </c>
      <c r="O47" t="n" s="5">
        <f>M47</f>
        <v>0.0</v>
      </c>
    </row>
    <row r="48">
      <c r="A48" t="s" s="3">
        <v>50</v>
      </c>
      <c r="B48" s="4"/>
      <c r="C48" s="4"/>
      <c r="D48" t="n" s="5">
        <f>B48</f>
        <v>0.0</v>
      </c>
      <c r="E48" t="n" s="5">
        <f>C48</f>
        <v>0.0</v>
      </c>
      <c r="F48" t="n" s="5">
        <f>D48</f>
        <v>0.0</v>
      </c>
      <c r="G48" t="n" s="5">
        <f>E48</f>
        <v>0.0</v>
      </c>
      <c r="H48" t="n" s="5">
        <f>F48</f>
        <v>0.0</v>
      </c>
      <c r="I48" t="n" s="5">
        <f>G48</f>
        <v>0.0</v>
      </c>
      <c r="J48" t="n" s="5">
        <f>H48</f>
        <v>0.0</v>
      </c>
      <c r="K48" t="n" s="5">
        <f>I48</f>
        <v>0.0</v>
      </c>
      <c r="L48" t="n" s="5">
        <f>9.52</f>
        <v>0.0</v>
      </c>
      <c r="M48" s="4"/>
      <c r="N48" t="n" s="5">
        <f>28.49</f>
        <v>0.0</v>
      </c>
      <c r="O48" s="4"/>
    </row>
    <row r="49">
      <c r="A49" t="s" s="3">
        <v>51</v>
      </c>
      <c r="B49" s="4"/>
      <c r="C49" s="4"/>
      <c r="D49" t="n" s="5">
        <f>B49</f>
        <v>0.0</v>
      </c>
      <c r="E49" t="n" s="5">
        <f>C49</f>
        <v>0.0</v>
      </c>
      <c r="F49" t="n" s="5">
        <f>D49</f>
        <v>0.0</v>
      </c>
      <c r="G49" t="n" s="5">
        <f>E49</f>
        <v>0.0</v>
      </c>
      <c r="H49" t="n" s="5">
        <f>F49</f>
        <v>0.0</v>
      </c>
      <c r="I49" t="n" s="5">
        <f>G49</f>
        <v>0.0</v>
      </c>
      <c r="J49" t="n" s="5">
        <f>H49</f>
        <v>0.0</v>
      </c>
      <c r="K49" t="n" s="5">
        <f>I49</f>
        <v>0.0</v>
      </c>
      <c r="L49" t="n" s="5">
        <f>18.08</f>
        <v>0.0</v>
      </c>
      <c r="M49" s="4"/>
      <c r="N49" t="n" s="5">
        <f>L49</f>
        <v>0.0</v>
      </c>
      <c r="O49" t="n" s="5">
        <f>M49</f>
        <v>0.0</v>
      </c>
    </row>
    <row r="50">
      <c r="A50" t="s" s="3">
        <v>52</v>
      </c>
      <c r="B50" s="4"/>
      <c r="C50" s="4"/>
      <c r="D50" t="n" s="5">
        <f>B50</f>
        <v>0.0</v>
      </c>
      <c r="E50" t="n" s="5">
        <f>C50</f>
        <v>0.0</v>
      </c>
      <c r="F50" t="n" s="5">
        <f>D50</f>
        <v>0.0</v>
      </c>
      <c r="G50" t="n" s="5">
        <f>E50</f>
        <v>0.0</v>
      </c>
      <c r="H50" t="n" s="5">
        <f>F50</f>
        <v>0.0</v>
      </c>
      <c r="I50" t="n" s="5">
        <f>G50</f>
        <v>0.0</v>
      </c>
      <c r="J50" t="n" s="5">
        <f>H50</f>
        <v>0.0</v>
      </c>
      <c r="K50" t="n" s="5">
        <f>I50</f>
        <v>0.0</v>
      </c>
      <c r="L50" t="n" s="5">
        <f>900.00</f>
        <v>0.0</v>
      </c>
      <c r="M50" s="4"/>
      <c r="N50" t="n" s="5">
        <f>L50</f>
        <v>0.0</v>
      </c>
      <c r="O50" t="n" s="5">
        <f>M50</f>
        <v>0.0</v>
      </c>
    </row>
    <row r="51">
      <c r="A51" t="s" s="3">
        <v>53</v>
      </c>
      <c r="B51" s="4"/>
      <c r="C51" s="4"/>
      <c r="D51" t="n" s="5">
        <f>B51</f>
        <v>0.0</v>
      </c>
      <c r="E51" t="n" s="5">
        <f>C51</f>
        <v>0.0</v>
      </c>
      <c r="F51" t="n" s="5">
        <f>D51</f>
        <v>0.0</v>
      </c>
      <c r="G51" t="n" s="5">
        <f>E51</f>
        <v>0.0</v>
      </c>
      <c r="H51" t="n" s="5">
        <f>F51</f>
        <v>0.0</v>
      </c>
      <c r="I51" t="n" s="5">
        <f>G51</f>
        <v>0.0</v>
      </c>
      <c r="J51" t="n" s="5">
        <f>86.44</f>
        <v>0.0</v>
      </c>
      <c r="K51" s="4"/>
      <c r="L51" t="n" s="5">
        <f>200.53</f>
        <v>0.0</v>
      </c>
      <c r="M51" s="4"/>
      <c r="N51" t="n" s="5">
        <f>L51</f>
        <v>0.0</v>
      </c>
      <c r="O51" t="n" s="5">
        <f>M51</f>
        <v>0.0</v>
      </c>
    </row>
    <row r="52">
      <c r="A52" t="s" s="3">
        <v>54</v>
      </c>
      <c r="B52" s="4"/>
      <c r="C52" s="4"/>
      <c r="D52" t="n" s="5">
        <f>B52</f>
        <v>0.0</v>
      </c>
      <c r="E52" t="n" s="5">
        <f>C52</f>
        <v>0.0</v>
      </c>
      <c r="F52" t="n" s="5">
        <f>D52</f>
        <v>0.0</v>
      </c>
      <c r="G52" t="n" s="5">
        <f>E52</f>
        <v>0.0</v>
      </c>
      <c r="H52" t="n" s="5">
        <f>F52</f>
        <v>0.0</v>
      </c>
      <c r="I52" t="n" s="5">
        <f>G52</f>
        <v>0.0</v>
      </c>
      <c r="J52" t="n" s="5">
        <f>56.50</f>
        <v>0.0</v>
      </c>
      <c r="K52" s="4"/>
      <c r="L52" t="n" s="5">
        <f>130.86</f>
        <v>0.0</v>
      </c>
      <c r="M52" s="4"/>
      <c r="N52" t="n" s="5">
        <f>L52</f>
        <v>0.0</v>
      </c>
      <c r="O52" t="n" s="5">
        <f>M52</f>
        <v>0.0</v>
      </c>
    </row>
    <row r="53">
      <c r="A53" t="s" s="3">
        <v>55</v>
      </c>
      <c r="B53" s="4"/>
      <c r="C53" s="4"/>
      <c r="D53" t="n" s="5">
        <f>B53</f>
        <v>0.0</v>
      </c>
      <c r="E53" t="n" s="5">
        <f>C53</f>
        <v>0.0</v>
      </c>
      <c r="F53" t="n" s="5">
        <f>D53</f>
        <v>0.0</v>
      </c>
      <c r="G53" t="n" s="5">
        <f>E53</f>
        <v>0.0</v>
      </c>
      <c r="H53" t="n" s="5">
        <f>F53</f>
        <v>0.0</v>
      </c>
      <c r="I53" t="n" s="5">
        <f>G53</f>
        <v>0.0</v>
      </c>
      <c r="J53" t="n" s="5">
        <f>250.00</f>
        <v>0.0</v>
      </c>
      <c r="K53" s="4"/>
      <c r="L53" t="n" s="5">
        <f>2916.00</f>
        <v>0.0</v>
      </c>
      <c r="M53" s="4"/>
      <c r="N53" t="n" s="5">
        <f>L53</f>
        <v>0.0</v>
      </c>
      <c r="O53" t="n" s="5">
        <f>M53</f>
        <v>0.0</v>
      </c>
    </row>
    <row r="54">
      <c r="A54" t="s" s="3">
        <v>56</v>
      </c>
      <c r="B54" t="n" s="6">
        <f>((((((((((((((((((((((((((((((((((((((((((((((B7)+(B8))+(B9))+(B10))+(B11))+(B12))+(B13))+(B14))+(B15))+(B16))+(B17))+(B18))+(B19))+(B20))+(B21))+(B22))+(B23))+(B24))+(B25))+(B26))+(B27))+(B28))+(B29))+(B30))+(B31))+(B32))+(B33))+(B34))+(B35))+(B36))+(B37))+(B38))+(B39))+(B40))+(B41))+(B42))+(B43))+(B44))+(B45))+(B46))+(B47))+(B48))+(B49))+(B50))+(B51))+(B52))+(B53)</f>
        <v>0.0</v>
      </c>
      <c r="C54" t="n" s="6">
        <f>((((((((((((((((((((((((((((((((((((((((((((((C7)+(C8))+(C9))+(C10))+(C11))+(C12))+(C13))+(C14))+(C15))+(C16))+(C17))+(C18))+(C19))+(C20))+(C21))+(C22))+(C23))+(C24))+(C25))+(C26))+(C27))+(C28))+(C29))+(C30))+(C31))+(C32))+(C33))+(C34))+(C35))+(C36))+(C37))+(C38))+(C39))+(C40))+(C41))+(C42))+(C43))+(C44))+(C45))+(C46))+(C47))+(C48))+(C49))+(C50))+(C51))+(C52))+(C53)</f>
        <v>0.0</v>
      </c>
      <c r="D54" t="n" s="6">
        <f>((((((((((((((((((((((((((((((((((((((((((((((D7)+(D8))+(D9))+(D10))+(D11))+(D12))+(D13))+(D14))+(D15))+(D16))+(D17))+(D18))+(D19))+(D20))+(D21))+(D22))+(D23))+(D24))+(D25))+(D26))+(D27))+(D28))+(D29))+(D30))+(D31))+(D32))+(D33))+(D34))+(D35))+(D36))+(D37))+(D38))+(D39))+(D40))+(D41))+(D42))+(D43))+(D44))+(D45))+(D46))+(D47))+(D48))+(D49))+(D50))+(D51))+(D52))+(D53)</f>
        <v>0.0</v>
      </c>
      <c r="E54" t="n" s="6">
        <f>((((((((((((((((((((((((((((((((((((((((((((((E7)+(E8))+(E9))+(E10))+(E11))+(E12))+(E13))+(E14))+(E15))+(E16))+(E17))+(E18))+(E19))+(E20))+(E21))+(E22))+(E23))+(E24))+(E25))+(E26))+(E27))+(E28))+(E29))+(E30))+(E31))+(E32))+(E33))+(E34))+(E35))+(E36))+(E37))+(E38))+(E39))+(E40))+(E41))+(E42))+(E43))+(E44))+(E45))+(E46))+(E47))+(E48))+(E49))+(E50))+(E51))+(E52))+(E53)</f>
        <v>0.0</v>
      </c>
      <c r="F54" t="n" s="6">
        <f>((((((((((((((((((((((((((((((((((((((((((((((F7)+(F8))+(F9))+(F10))+(F11))+(F12))+(F13))+(F14))+(F15))+(F16))+(F17))+(F18))+(F19))+(F20))+(F21))+(F22))+(F23))+(F24))+(F25))+(F26))+(F27))+(F28))+(F29))+(F30))+(F31))+(F32))+(F33))+(F34))+(F35))+(F36))+(F37))+(F38))+(F39))+(F40))+(F41))+(F42))+(F43))+(F44))+(F45))+(F46))+(F47))+(F48))+(F49))+(F50))+(F51))+(F52))+(F53)</f>
        <v>0.0</v>
      </c>
      <c r="G54" t="n" s="6">
        <f>((((((((((((((((((((((((((((((((((((((((((((((G7)+(G8))+(G9))+(G10))+(G11))+(G12))+(G13))+(G14))+(G15))+(G16))+(G17))+(G18))+(G19))+(G20))+(G21))+(G22))+(G23))+(G24))+(G25))+(G26))+(G27))+(G28))+(G29))+(G30))+(G31))+(G32))+(G33))+(G34))+(G35))+(G36))+(G37))+(G38))+(G39))+(G40))+(G41))+(G42))+(G43))+(G44))+(G45))+(G46))+(G47))+(G48))+(G49))+(G50))+(G51))+(G52))+(G53)</f>
        <v>0.0</v>
      </c>
      <c r="H54" t="n" s="6">
        <f>((((((((((((((((((((((((((((((((((((((((((((((H7)+(H8))+(H9))+(H10))+(H11))+(H12))+(H13))+(H14))+(H15))+(H16))+(H17))+(H18))+(H19))+(H20))+(H21))+(H22))+(H23))+(H24))+(H25))+(H26))+(H27))+(H28))+(H29))+(H30))+(H31))+(H32))+(H33))+(H34))+(H35))+(H36))+(H37))+(H38))+(H39))+(H40))+(H41))+(H42))+(H43))+(H44))+(H45))+(H46))+(H47))+(H48))+(H49))+(H50))+(H51))+(H52))+(H53)</f>
        <v>0.0</v>
      </c>
      <c r="I54" t="n" s="6">
        <f>((((((((((((((((((((((((((((((((((((((((((((((I7)+(I8))+(I9))+(I10))+(I11))+(I12))+(I13))+(I14))+(I15))+(I16))+(I17))+(I18))+(I19))+(I20))+(I21))+(I22))+(I23))+(I24))+(I25))+(I26))+(I27))+(I28))+(I29))+(I30))+(I31))+(I32))+(I33))+(I34))+(I35))+(I36))+(I37))+(I38))+(I39))+(I40))+(I41))+(I42))+(I43))+(I44))+(I45))+(I46))+(I47))+(I48))+(I49))+(I50))+(I51))+(I52))+(I53)</f>
        <v>0.0</v>
      </c>
      <c r="J54" t="n" s="6">
        <f>((((((((((((((((((((((((((((((((((((((((((((((J7)+(J8))+(J9))+(J10))+(J11))+(J12))+(J13))+(J14))+(J15))+(J16))+(J17))+(J18))+(J19))+(J20))+(J21))+(J22))+(J23))+(J24))+(J25))+(J26))+(J27))+(J28))+(J29))+(J30))+(J31))+(J32))+(J33))+(J34))+(J35))+(J36))+(J37))+(J38))+(J39))+(J40))+(J41))+(J42))+(J43))+(J44))+(J45))+(J46))+(J47))+(J48))+(J49))+(J50))+(J51))+(J52))+(J53)</f>
        <v>0.0</v>
      </c>
      <c r="K54" t="n" s="6">
        <f>((((((((((((((((((((((((((((((((((((((((((((((K7)+(K8))+(K9))+(K10))+(K11))+(K12))+(K13))+(K14))+(K15))+(K16))+(K17))+(K18))+(K19))+(K20))+(K21))+(K22))+(K23))+(K24))+(K25))+(K26))+(K27))+(K28))+(K29))+(K30))+(K31))+(K32))+(K33))+(K34))+(K35))+(K36))+(K37))+(K38))+(K39))+(K40))+(K41))+(K42))+(K43))+(K44))+(K45))+(K46))+(K47))+(K48))+(K49))+(K50))+(K51))+(K52))+(K53)</f>
        <v>0.0</v>
      </c>
      <c r="L54" t="n" s="6">
        <f>((((((((((((((((((((((((((((((((((((((((((((((L7)+(L8))+(L9))+(L10))+(L11))+(L12))+(L13))+(L14))+(L15))+(L16))+(L17))+(L18))+(L19))+(L20))+(L21))+(L22))+(L23))+(L24))+(L25))+(L26))+(L27))+(L28))+(L29))+(L30))+(L31))+(L32))+(L33))+(L34))+(L35))+(L36))+(L37))+(L38))+(L39))+(L40))+(L41))+(L42))+(L43))+(L44))+(L45))+(L46))+(L47))+(L48))+(L49))+(L50))+(L51))+(L52))+(L53)</f>
        <v>0.0</v>
      </c>
      <c r="M54" t="n" s="6">
        <f>((((((((((((((((((((((((((((((((((((((((((((((M7)+(M8))+(M9))+(M10))+(M11))+(M12))+(M13))+(M14))+(M15))+(M16))+(M17))+(M18))+(M19))+(M20))+(M21))+(M22))+(M23))+(M24))+(M25))+(M26))+(M27))+(M28))+(M29))+(M30))+(M31))+(M32))+(M33))+(M34))+(M35))+(M36))+(M37))+(M38))+(M39))+(M40))+(M41))+(M42))+(M43))+(M44))+(M45))+(M46))+(M47))+(M48))+(M49))+(M50))+(M51))+(M52))+(M53)</f>
        <v>0.0</v>
      </c>
      <c r="N54" t="n" s="6">
        <f>((((((((((((((((((((((((((((((((((((((((((((((N7)+(N8))+(N9))+(N10))+(N11))+(N12))+(N13))+(N14))+(N15))+(N16))+(N17))+(N18))+(N19))+(N20))+(N21))+(N22))+(N23))+(N24))+(N25))+(N26))+(N27))+(N28))+(N29))+(N30))+(N31))+(N32))+(N33))+(N34))+(N35))+(N36))+(N37))+(N38))+(N39))+(N40))+(N41))+(N42))+(N43))+(N44))+(N45))+(N46))+(N47))+(N48))+(N49))+(N50))+(N51))+(N52))+(N53)</f>
        <v>0.0</v>
      </c>
      <c r="O54" t="n" s="6">
        <f>((((((((((((((((((((((((((((((((((((((((((((((O7)+(O8))+(O9))+(O10))+(O11))+(O12))+(O13))+(O14))+(O15))+(O16))+(O17))+(O18))+(O19))+(O20))+(O21))+(O22))+(O23))+(O24))+(O25))+(O26))+(O27))+(O28))+(O29))+(O30))+(O31))+(O32))+(O33))+(O34))+(O35))+(O36))+(O37))+(O38))+(O39))+(O40))+(O41))+(O42))+(O43))+(O44))+(O45))+(O46))+(O47))+(O48))+(O49))+(O50))+(O51))+(O52))+(O53)</f>
        <v>0.0</v>
      </c>
    </row>
    <row r="55">
      <c r="A55" s="3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r="58">
      <c r="A58" s="7" t="s">
        <v>57</v>
      </c>
      <c r="B58"/>
      <c r="C58"/>
      <c r="D58"/>
      <c r="E58"/>
      <c r="F58"/>
      <c r="G58"/>
      <c r="H58"/>
      <c r="I58"/>
      <c r="J58"/>
      <c r="K58"/>
      <c r="L58"/>
      <c r="M58"/>
      <c r="N58"/>
      <c r="O58"/>
    </row>
  </sheetData>
  <mergeCells count="11">
    <mergeCell ref="B5:C5"/>
    <mergeCell ref="D5:E5"/>
    <mergeCell ref="F5:G5"/>
    <mergeCell ref="H5:I5"/>
    <mergeCell ref="J5:K5"/>
    <mergeCell ref="L5:M5"/>
    <mergeCell ref="N5:O5"/>
    <mergeCell ref="A58:O58"/>
    <mergeCell ref="A1:O1"/>
    <mergeCell ref="A2:O2"/>
    <mergeCell ref="A3:O3"/>
  </mergeCells>
  <pageMargins bottom="0.75" footer="0.3" header="0.3" left="0.7" right="0.7" top="0.75"/>
  <headerFooter>
    <oddHeader/>
    <oddFooter/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2025-07-28T01:25:49Z</dcterms:created>
  <dc:creator>Apache POI</dc:creator>
</cp:coreProperties>
</file>