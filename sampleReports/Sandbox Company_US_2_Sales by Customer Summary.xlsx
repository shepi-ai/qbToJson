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81" i="1" l="1"/>
</calcChain>
</file>

<file path=xl/sharedStrings.xml><?xml version="1.0" encoding="utf-8"?>
<sst xmlns="http://schemas.openxmlformats.org/spreadsheetml/2006/main" count="118" uniqueCount="118">
  <si>
    <t>Sales by Customer Summary</t>
  </si>
  <si>
    <t>Sandbox Company_US_2</t>
  </si>
  <si>
    <t>January 1, 2023-December 31, 2025</t>
  </si>
  <si>
    <t>Amy's Bird Sanctuary</t>
  </si>
  <si>
    <t>Auer, Keeling and Steuber</t>
  </si>
  <si>
    <t>Bahringer Inc</t>
  </si>
  <si>
    <t>Baumbach-Botsford</t>
  </si>
  <si>
    <t>Becker-Adams</t>
  </si>
  <si>
    <t>Bergstrom LLC</t>
  </si>
  <si>
    <t>Bill's Windsurf Shop</t>
  </si>
  <si>
    <t>Cool Cars</t>
  </si>
  <si>
    <t>Crooks, Pollich and Mertz</t>
  </si>
  <si>
    <t>Diego Rodriguez</t>
  </si>
  <si>
    <t>Dukes Basketball Camp</t>
  </si>
  <si>
    <t>Dylan Sollfrank</t>
  </si>
  <si>
    <t>Ebert-Krajcik</t>
  </si>
  <si>
    <t>Fadel LLC</t>
  </si>
  <si>
    <t>Fadel-Oberbrunner</t>
  </si>
  <si>
    <t>Freeman Sporting Goods</t>
  </si>
  <si>
    <t>0969 Ocean View Road</t>
  </si>
  <si>
    <t>55 Twin Lane</t>
  </si>
  <si>
    <t>Total for Freeman Sporting Goods</t>
  </si>
  <si>
    <t>Geeta Kalapatapu</t>
  </si>
  <si>
    <t>Glover, Bode and Raynor</t>
  </si>
  <si>
    <t>Glover-Pfannerstill</t>
  </si>
  <si>
    <t>Grant and Sons</t>
  </si>
  <si>
    <t>Greenholt-Cassin</t>
  </si>
  <si>
    <t>Hammes LLC</t>
  </si>
  <si>
    <t>Hand LLC</t>
  </si>
  <si>
    <t>Huel-Botsford</t>
  </si>
  <si>
    <t>Huels Group</t>
  </si>
  <si>
    <t>Jeff's Jalopies</t>
  </si>
  <si>
    <t>John Melton</t>
  </si>
  <si>
    <t>Johnston-Berge</t>
  </si>
  <si>
    <t>Kate Whelan</t>
  </si>
  <si>
    <t>Kiehn, Franecki and Nicolas</t>
  </si>
  <si>
    <t>Kookies by Kathy</t>
  </si>
  <si>
    <t>Krajcik Inc</t>
  </si>
  <si>
    <t>Kub and Sons</t>
  </si>
  <si>
    <t>Langworth, Nolan and Harris</t>
  </si>
  <si>
    <t>Lehner, Hane and Borer</t>
  </si>
  <si>
    <t>Leuschke-Ernser</t>
  </si>
  <si>
    <t>Lind-Willms</t>
  </si>
  <si>
    <t>Lindgren, Wiegand and White</t>
  </si>
  <si>
    <t>Lynch, Ziemann and Wehner</t>
  </si>
  <si>
    <t>Mayert-Lehner</t>
  </si>
  <si>
    <t>Mohr, Haag and Labadie</t>
  </si>
  <si>
    <t>Mohr-Koch</t>
  </si>
  <si>
    <t>Morar-Ernser</t>
  </si>
  <si>
    <t>Nienow-Mitchell</t>
  </si>
  <si>
    <t>Ortiz-Rogahn</t>
  </si>
  <si>
    <t>Paulsen Medical Supplies</t>
  </si>
  <si>
    <t>Predovic, Kohler and Boyer</t>
  </si>
  <si>
    <t>Prohaska LLC</t>
  </si>
  <si>
    <t>Pye's Cakes</t>
  </si>
  <si>
    <t>Red Rock Diner</t>
  </si>
  <si>
    <t>Rice-Block</t>
  </si>
  <si>
    <t>Romaguera and Sons</t>
  </si>
  <si>
    <t>Romaguera, Heller and Mertz</t>
  </si>
  <si>
    <t>Rondonuwu Fruit and Vegi</t>
  </si>
  <si>
    <t>Runte-Breitenberg</t>
  </si>
  <si>
    <t>Sauer Group</t>
  </si>
  <si>
    <t>Schoen-O'Reilly</t>
  </si>
  <si>
    <t>Shanahan LLC</t>
  </si>
  <si>
    <t>Shara Barnett</t>
  </si>
  <si>
    <t>Barnett Design</t>
  </si>
  <si>
    <t>Total for Shara Barnett</t>
  </si>
  <si>
    <t>Skiles Inc</t>
  </si>
  <si>
    <t>Stokes, Murray and Wolff</t>
  </si>
  <si>
    <t>Sushi by Katsuyuki</t>
  </si>
  <si>
    <t>Thiel, Keeling and O'Keefe</t>
  </si>
  <si>
    <t>Thompson-Aufderhar</t>
  </si>
  <si>
    <t>Travis Waldron</t>
  </si>
  <si>
    <t>Watsica-Gottlieb</t>
  </si>
  <si>
    <t>Wehner, O'Conner and Bashirian</t>
  </si>
  <si>
    <t>Weiskopf Consulting</t>
  </si>
  <si>
    <t>Welch Inc</t>
  </si>
  <si>
    <t>Willms, Ratke and Little</t>
  </si>
  <si>
    <t>TOTAL</t>
  </si>
  <si>
    <t>Customer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</si>
  <si>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</si>
  <si>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</si>
  <si>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</si>
  <si>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</si>
  <si>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</si>
  <si>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</si>
  <si>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</si>
  <si>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</si>
  <si>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</si>
  <si>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</si>
  <si>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</si>
  <si>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</si>
  <si>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</si>
  <si>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</si>
  <si>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</si>
  <si>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</si>
  <si>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</si>
  <si>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</si>
  <si>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</si>
  <si>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</si>
  <si>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</si>
  <si>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</si>
  <si>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</si>
  <si>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</si>
  <si>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</si>
  <si>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</si>
  <si>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</si>
  <si>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</si>
  <si>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</si>
  <si>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</si>
  <si>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</si>
  <si>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</si>
  <si>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</si>
  <si>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</si>
  <si>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</si>
  <si>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</si>
  <si>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Total</t>
  </si>
  <si>
    <t>Accrual Basis Wednesday, March 04, 2026 10:56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</si>
</sst>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1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78" fontId="0" fillId="0" borderId="0" xfId="0" applyNumberFormat="1"/>
    <xf numFmtId="178" fontId="3" fillId="0" borderId="0" xfId="0" applyNumberFormat="1" applyFont="1"/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AL85"/>
  <sheetViews>
    <sheetView tabSelected="1" workbookViewId="0" topLeftCell="A1"/>
  </sheetViews>
  <sheetFormatPr defaultColWidth="11.255" defaultRowHeight="16" outlineLevelRow="1"/>
  <cols>
    <col min="1" max="1" width="28.125" style="33" customWidth="1"/>
    <col min="2" max="2" width="11" style="33" customWidth="1"/>
    <col min="3" max="3" width="11.75" style="33" customWidth="1"/>
    <col min="4" max="5" width="9.25" style="33" customWidth="1"/>
    <col min="6" max="6" width="7.5" style="33" customWidth="1"/>
    <col min="7" max="8" width="8.375" style="33" customWidth="1"/>
    <col min="9" max="9" width="10.125" style="33" customWidth="1"/>
    <col min="10" max="10" width="12.625" style="33" customWidth="1"/>
    <col min="11" max="11" width="11" style="33" customWidth="1"/>
    <col min="12" max="13" width="11.75" style="33" customWidth="1"/>
    <col min="14" max="14" width="11" style="33" customWidth="1"/>
    <col min="15" max="15" width="11.75" style="33" customWidth="1"/>
    <col min="16" max="17" width="9.25" style="33" customWidth="1"/>
    <col min="18" max="18" width="7.5" style="33" customWidth="1"/>
    <col min="19" max="20" width="8.375" style="33" customWidth="1"/>
    <col min="21" max="21" width="10.125" style="33" customWidth="1"/>
    <col min="22" max="22" width="12.625" style="33" customWidth="1"/>
    <col min="23" max="23" width="11" style="33" customWidth="1"/>
    <col min="24" max="25" width="11.75" style="33" customWidth="1"/>
    <col min="26" max="26" width="11" style="33" customWidth="1"/>
    <col min="27" max="27" width="11.75" style="33" customWidth="1"/>
    <col min="28" max="29" width="9.25" style="33" customWidth="1"/>
    <col min="30" max="30" width="7.5" style="33" customWidth="1"/>
    <col min="31" max="32" width="8.375" style="33" customWidth="1"/>
    <col min="33" max="33" width="10.125" style="33" customWidth="1"/>
    <col min="34" max="34" width="12.625" style="33" customWidth="1"/>
    <col min="35" max="35" width="11" style="33" customWidth="1"/>
    <col min="36" max="37" width="11.75" style="33" customWidth="1"/>
    <col min="38" max="38" width="7.5" style="33" customWidth="1"/>
  </cols>
  <sheetData>
    <row r="1" spans="1:1" ht="16">
      <c r="A1" s="25" t="s">
        <v>0</v>
      </c>
    </row>
    <row r="2" spans="1:1" ht="16">
      <c r="A2" s="26" t="s">
        <v>1</v>
      </c>
    </row>
    <row r="3" spans="1:1" ht="16">
      <c r="A3" s="27" t="s">
        <v>2</v>
      </c>
    </row>
    <row r="5" spans="1:38" ht="16">
      <c r="A5" s="35" t="s">
        <v>79</v>
      </c>
      <c r="B5" s="35" t="s">
        <v>80</v>
      </c>
      <c r="C5" s="35" t="s">
        <v>81</v>
      </c>
      <c r="D5" s="35" t="s">
        <v>82</v>
      </c>
      <c r="E5" s="35" t="s">
        <v>83</v>
      </c>
      <c r="F5" s="35" t="s">
        <v>84</v>
      </c>
      <c r="G5" s="35" t="s">
        <v>85</v>
      </c>
      <c r="H5" s="35" t="s">
        <v>86</v>
      </c>
      <c r="I5" s="35" t="s">
        <v>87</v>
      </c>
      <c r="J5" s="35" t="s">
        <v>88</v>
      </c>
      <c r="K5" s="35" t="s">
        <v>89</v>
      </c>
      <c r="L5" s="35" t="s">
        <v>90</v>
      </c>
      <c r="M5" s="35" t="s">
        <v>91</v>
      </c>
      <c r="N5" s="35" t="s">
        <v>92</v>
      </c>
      <c r="O5" s="35" t="s">
        <v>93</v>
      </c>
      <c r="P5" s="35" t="s">
        <v>94</v>
      </c>
      <c r="Q5" s="35" t="s">
        <v>95</v>
      </c>
      <c r="R5" s="35" t="s">
        <v>96</v>
      </c>
      <c r="S5" s="35" t="s">
        <v>97</v>
      </c>
      <c r="T5" s="35" t="s">
        <v>98</v>
      </c>
      <c r="U5" s="35" t="s">
        <v>99</v>
      </c>
      <c r="V5" s="35" t="s">
        <v>100</v>
      </c>
      <c r="W5" s="35" t="s">
        <v>101</v>
      </c>
      <c r="X5" s="35" t="s">
        <v>102</v>
      </c>
      <c r="Y5" s="35" t="s">
        <v>103</v>
      </c>
      <c r="Z5" s="35" t="s">
        <v>104</v>
      </c>
      <c r="AA5" s="35" t="s">
        <v>105</v>
      </c>
      <c r="AB5" s="35" t="s">
        <v>106</v>
      </c>
      <c r="AC5" s="35" t="s">
        <v>107</v>
      </c>
      <c r="AD5" s="35" t="s">
        <v>108</v>
      </c>
      <c r="AE5" s="35" t="s">
        <v>109</v>
      </c>
      <c r="AF5" s="35" t="s">
        <v>110</v>
      </c>
      <c r="AG5" s="35" t="s">
        <v>111</v>
      </c>
      <c r="AH5" s="35" t="s">
        <v>112</v>
      </c>
      <c r="AI5" s="35" t="s">
        <v>113</v>
      </c>
      <c r="AJ5" s="35" t="s">
        <v>114</v>
      </c>
      <c r="AK5" s="35" t="s">
        <v>115</v>
      </c>
      <c r="AL5" s="35" t="s">
        <v>116</v>
      </c>
    </row>
    <row r="6" spans="1:38" ht="16">
      <c r="A6" s="29" t="s">
        <v>3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7">
        <v>205.0</v>
      </c>
      <c r="AK6" s="37">
        <v>425.0</v>
      </c>
      <c r="AL6" s="37">
        <f>B6+C6+D6+E6+F6+G6+H6+I6+J6+K6+L6+M6+N6+O6+P6+Q6+R6+S6+T6+U6+V6+W6+X6+Y6+Z6+AA6+AB6+AC6+AD6+AE6+AF6+AG6+AH6+AI6+AJ6+AK6</f>
        <v>630.0</v>
      </c>
    </row>
    <row r="7" spans="1:38" ht="16">
      <c r="A7" s="29" t="s">
        <v>4</v>
      </c>
      <c r="B7" s="36"/>
      <c r="C7" s="36"/>
      <c r="D7" s="36"/>
      <c r="E7" s="36"/>
      <c r="F7" s="37">
        <v>0</v>
      </c>
      <c r="G7" s="37">
        <v>245.0</v>
      </c>
      <c r="H7" s="36"/>
      <c r="I7" s="36"/>
      <c r="J7" s="36"/>
      <c r="K7" s="36"/>
      <c r="L7" s="37">
        <v>0</v>
      </c>
      <c r="M7" s="37">
        <v>780.0</v>
      </c>
      <c r="N7" s="36"/>
      <c r="O7" s="36"/>
      <c r="P7" s="37">
        <v>10.0</v>
      </c>
      <c r="Q7" s="36"/>
      <c r="R7" s="36"/>
      <c r="S7" s="36"/>
      <c r="T7" s="36"/>
      <c r="U7" s="37">
        <v>35.0</v>
      </c>
      <c r="V7" s="37">
        <v>140.0</v>
      </c>
      <c r="W7" s="36"/>
      <c r="X7" s="37">
        <v>0</v>
      </c>
      <c r="Y7" s="37">
        <v>0</v>
      </c>
      <c r="Z7" s="36"/>
      <c r="AA7" s="37">
        <v>420.0</v>
      </c>
      <c r="AB7" s="37">
        <v>0</v>
      </c>
      <c r="AC7" s="36"/>
      <c r="AD7" s="37">
        <v>245.0</v>
      </c>
      <c r="AE7" s="37">
        <v>160.0</v>
      </c>
      <c r="AF7" s="37">
        <v>0</v>
      </c>
      <c r="AG7" s="37">
        <v>60.0</v>
      </c>
      <c r="AH7" s="36"/>
      <c r="AI7" s="37">
        <v>245.0</v>
      </c>
      <c r="AJ7" s="37">
        <v>140.0</v>
      </c>
      <c r="AK7" s="37">
        <v>65.0</v>
      </c>
      <c r="AL7" s="37">
        <f>B7+C7+D7+E7+F7+G7+H7+I7+J7+K7+L7+M7+N7+O7+P7+Q7+R7+S7+T7+U7+V7+W7+X7+Y7+Z7+AA7+AB7+AC7+AD7+AE7+AF7+AG7+AH7+AI7+AJ7+AK7</f>
        <v>2545.0</v>
      </c>
    </row>
    <row r="8" spans="1:38" ht="16">
      <c r="A8" s="29" t="s">
        <v>5</v>
      </c>
      <c r="B8" s="36"/>
      <c r="C8" s="37">
        <v>50.0</v>
      </c>
      <c r="D8" s="36"/>
      <c r="E8" s="37">
        <v>35.0</v>
      </c>
      <c r="F8" s="36"/>
      <c r="G8" s="37">
        <v>245.0</v>
      </c>
      <c r="H8" s="37">
        <v>0</v>
      </c>
      <c r="I8" s="36"/>
      <c r="J8" s="37">
        <v>0</v>
      </c>
      <c r="K8" s="36"/>
      <c r="L8" s="36"/>
      <c r="M8" s="37">
        <v>350.0</v>
      </c>
      <c r="N8" s="36"/>
      <c r="O8" s="37">
        <v>0</v>
      </c>
      <c r="P8" s="36"/>
      <c r="Q8" s="37">
        <v>70.0</v>
      </c>
      <c r="R8" s="37">
        <v>35.0</v>
      </c>
      <c r="S8" s="36"/>
      <c r="T8" s="37">
        <v>10.0</v>
      </c>
      <c r="U8" s="37">
        <v>50.0</v>
      </c>
      <c r="V8" s="37">
        <v>35.0</v>
      </c>
      <c r="W8" s="37">
        <v>70.0</v>
      </c>
      <c r="X8" s="37">
        <v>595.0</v>
      </c>
      <c r="Y8" s="36"/>
      <c r="Z8" s="36"/>
      <c r="AA8" s="37">
        <v>35.0</v>
      </c>
      <c r="AB8" s="37">
        <v>80.0</v>
      </c>
      <c r="AC8" s="37">
        <v>90.0</v>
      </c>
      <c r="AD8" s="36"/>
      <c r="AE8" s="36"/>
      <c r="AF8" s="37">
        <v>90.0</v>
      </c>
      <c r="AG8" s="37">
        <v>300.0</v>
      </c>
      <c r="AH8" s="37">
        <v>210.0</v>
      </c>
      <c r="AI8" s="37">
        <v>0</v>
      </c>
      <c r="AJ8" s="37">
        <v>0</v>
      </c>
      <c r="AK8" s="37">
        <v>0</v>
      </c>
      <c r="AL8" s="37">
        <f>B8+C8+D8+E8+F8+G8+H8+I8+J8+K8+L8+M8+N8+O8+P8+Q8+R8+S8+T8+U8+V8+W8+X8+Y8+Z8+AA8+AB8+AC8+AD8+AE8+AF8+AG8+AH8+AI8+AJ8+AK8</f>
        <v>2350.0</v>
      </c>
    </row>
    <row r="9" spans="1:38" ht="16">
      <c r="A9" s="29" t="s">
        <v>6</v>
      </c>
      <c r="B9" s="37">
        <v>0</v>
      </c>
      <c r="C9" s="36"/>
      <c r="D9" s="37">
        <v>350.0</v>
      </c>
      <c r="E9" s="36"/>
      <c r="F9" s="37">
        <v>375.0</v>
      </c>
      <c r="G9" s="37">
        <v>0</v>
      </c>
      <c r="H9" s="37">
        <v>445.0</v>
      </c>
      <c r="I9" s="37">
        <v>0</v>
      </c>
      <c r="J9" s="36"/>
      <c r="K9" s="36"/>
      <c r="L9" s="37">
        <v>595.0</v>
      </c>
      <c r="M9" s="37">
        <v>0</v>
      </c>
      <c r="N9" s="37">
        <v>0</v>
      </c>
      <c r="O9" s="37">
        <v>900.0</v>
      </c>
      <c r="P9" s="36"/>
      <c r="Q9" s="36"/>
      <c r="R9" s="36"/>
      <c r="S9" s="36"/>
      <c r="T9" s="37">
        <v>10.0</v>
      </c>
      <c r="U9" s="37">
        <v>0</v>
      </c>
      <c r="V9" s="37">
        <v>0</v>
      </c>
      <c r="W9" s="37">
        <v>0</v>
      </c>
      <c r="X9" s="37">
        <v>100.0</v>
      </c>
      <c r="Y9" s="37">
        <v>0</v>
      </c>
      <c r="Z9" s="36"/>
      <c r="AA9" s="36"/>
      <c r="AB9" s="37">
        <v>35.0</v>
      </c>
      <c r="AC9" s="36"/>
      <c r="AD9" s="37">
        <v>50.0</v>
      </c>
      <c r="AE9" s="36"/>
      <c r="AF9" s="36"/>
      <c r="AG9" s="37">
        <v>0</v>
      </c>
      <c r="AH9" s="37">
        <v>0</v>
      </c>
      <c r="AI9" s="37">
        <v>350.0</v>
      </c>
      <c r="AJ9" s="37">
        <v>375.0</v>
      </c>
      <c r="AK9" s="37">
        <v>110.0</v>
      </c>
      <c r="AL9" s="37">
        <f>B9+C9+D9+E9+F9+G9+H9+I9+J9+K9+L9+M9+N9+O9+P9+Q9+R9+S9+T9+U9+V9+W9+X9+Y9+Z9+AA9+AB9+AC9+AD9+AE9+AF9+AG9+AH9+AI9+AJ9+AK9</f>
        <v>3695.0</v>
      </c>
    </row>
    <row r="10" spans="1:38" ht="16">
      <c r="A10" s="29" t="s">
        <v>7</v>
      </c>
      <c r="B10" s="36"/>
      <c r="C10" s="37">
        <v>350.0</v>
      </c>
      <c r="D10" s="37">
        <v>50.0</v>
      </c>
      <c r="E10" s="36"/>
      <c r="F10" s="36"/>
      <c r="G10" s="36"/>
      <c r="H10" s="37">
        <v>80.0</v>
      </c>
      <c r="I10" s="37">
        <v>10.0</v>
      </c>
      <c r="J10" s="37">
        <v>-50.0</v>
      </c>
      <c r="K10" s="36"/>
      <c r="L10" s="37">
        <v>0</v>
      </c>
      <c r="M10" s="36"/>
      <c r="N10" s="37">
        <v>-35.0</v>
      </c>
      <c r="O10" s="36"/>
      <c r="P10" s="36"/>
      <c r="Q10" s="37">
        <v>0</v>
      </c>
      <c r="R10" s="36"/>
      <c r="S10" s="36"/>
      <c r="T10" s="37">
        <v>245.0</v>
      </c>
      <c r="U10" s="37">
        <v>210.0</v>
      </c>
      <c r="V10" s="36"/>
      <c r="W10" s="37">
        <v>0</v>
      </c>
      <c r="X10" s="37">
        <v>50.0</v>
      </c>
      <c r="Y10" s="36"/>
      <c r="Z10" s="37">
        <v>140.0</v>
      </c>
      <c r="AA10" s="37">
        <v>75.0</v>
      </c>
      <c r="AB10" s="36"/>
      <c r="AC10" s="37">
        <v>350.0</v>
      </c>
      <c r="AD10" s="36"/>
      <c r="AE10" s="37">
        <v>575.0</v>
      </c>
      <c r="AF10" s="36"/>
      <c r="AG10" s="36"/>
      <c r="AH10" s="37">
        <v>0</v>
      </c>
      <c r="AI10" s="37">
        <v>250.0</v>
      </c>
      <c r="AJ10" s="37">
        <v>0</v>
      </c>
      <c r="AK10" s="37">
        <v>0</v>
      </c>
      <c r="AL10" s="37">
        <f>B10+C10+D10+E10+F10+G10+H10+I10+J10+K10+L10+M10+N10+O10+P10+Q10+R10+S10+T10+U10+V10+W10+X10+Y10+Z10+AA10+AB10+AC10+AD10+AE10+AF10+AG10+AH10+AI10+AJ10+AK10</f>
        <v>2300.0</v>
      </c>
    </row>
    <row r="11" spans="1:38" ht="16">
      <c r="A11" s="29" t="s">
        <v>8</v>
      </c>
      <c r="B11" s="37">
        <v>0</v>
      </c>
      <c r="C11" s="37">
        <v>0</v>
      </c>
      <c r="D11" s="36"/>
      <c r="E11" s="37">
        <v>675.0</v>
      </c>
      <c r="F11" s="36"/>
      <c r="G11" s="36"/>
      <c r="H11" s="37">
        <v>0</v>
      </c>
      <c r="I11" s="37">
        <v>525.0</v>
      </c>
      <c r="J11" s="37">
        <v>350.0</v>
      </c>
      <c r="K11" s="36"/>
      <c r="L11" s="36"/>
      <c r="M11" s="36"/>
      <c r="N11" s="37">
        <v>400.0</v>
      </c>
      <c r="O11" s="37">
        <v>0</v>
      </c>
      <c r="P11" s="37">
        <v>0</v>
      </c>
      <c r="Q11" s="36"/>
      <c r="R11" s="37">
        <v>35.0</v>
      </c>
      <c r="S11" s="36"/>
      <c r="T11" s="36"/>
      <c r="U11" s="36"/>
      <c r="V11" s="37">
        <v>75.0</v>
      </c>
      <c r="W11" s="37">
        <v>0</v>
      </c>
      <c r="X11" s="37">
        <v>520.0</v>
      </c>
      <c r="Y11" s="36"/>
      <c r="Z11" s="36"/>
      <c r="AA11" s="36"/>
      <c r="AB11" s="37">
        <v>0</v>
      </c>
      <c r="AC11" s="37">
        <v>175.0</v>
      </c>
      <c r="AD11" s="37">
        <v>50.0</v>
      </c>
      <c r="AE11" s="36"/>
      <c r="AF11" s="36"/>
      <c r="AG11" s="37">
        <v>0</v>
      </c>
      <c r="AH11" s="37">
        <v>0</v>
      </c>
      <c r="AI11" s="37">
        <v>50.0</v>
      </c>
      <c r="AJ11" s="37">
        <v>0</v>
      </c>
      <c r="AK11" s="36"/>
      <c r="AL11" s="37">
        <f>B11+C11+D11+E11+F11+G11+H11+I11+J11+K11+L11+M11+N11+O11+P11+Q11+R11+S11+T11+U11+V11+W11+X11+Y11+Z11+AA11+AB11+AC11+AD11+AE11+AF11+AG11+AH11+AI11+AJ11+AK11</f>
        <v>2855.0</v>
      </c>
    </row>
    <row r="12" spans="1:38" ht="16">
      <c r="A12" s="29" t="s">
        <v>9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7">
        <v>175.0</v>
      </c>
      <c r="AI12" s="36"/>
      <c r="AJ12" s="37">
        <v>85.0</v>
      </c>
      <c r="AK12" s="36"/>
      <c r="AL12" s="37">
        <f>B12+C12+D12+E12+F12+G12+H12+I12+J12+K12+L12+M12+N12+O12+P12+Q12+R12+S12+T12+U12+V12+W12+X12+Y12+Z12+AA12+AB12+AC12+AD12+AE12+AF12+AG12+AH12+AI12+AJ12+AK12</f>
        <v>260.0</v>
      </c>
    </row>
    <row r="13" spans="1:38" ht="16">
      <c r="A13" s="29" t="s">
        <v>10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7">
        <v>2194.0</v>
      </c>
      <c r="AL13" s="37">
        <f>B13+C13+D13+E13+F13+G13+H13+I13+J13+K13+L13+M13+N13+O13+P13+Q13+R13+S13+T13+U13+V13+W13+X13+Y13+Z13+AA13+AB13+AC13+AD13+AE13+AF13+AG13+AH13+AI13+AJ13+AK13</f>
        <v>2194.0</v>
      </c>
    </row>
    <row r="14" spans="1:38" ht="16">
      <c r="A14" s="29" t="s">
        <v>11</v>
      </c>
      <c r="B14" s="36"/>
      <c r="C14" s="36"/>
      <c r="D14" s="37">
        <v>375.0</v>
      </c>
      <c r="E14" s="36"/>
      <c r="F14" s="36"/>
      <c r="G14" s="37">
        <v>0</v>
      </c>
      <c r="H14" s="37">
        <v>450.0</v>
      </c>
      <c r="I14" s="37">
        <v>855.0</v>
      </c>
      <c r="J14" s="37">
        <v>0</v>
      </c>
      <c r="K14" s="36"/>
      <c r="L14" s="37">
        <v>0</v>
      </c>
      <c r="M14" s="36"/>
      <c r="N14" s="36"/>
      <c r="O14" s="37">
        <v>-35.0</v>
      </c>
      <c r="P14" s="37">
        <v>525.0</v>
      </c>
      <c r="Q14" s="36"/>
      <c r="R14" s="37">
        <v>280.0</v>
      </c>
      <c r="S14" s="36"/>
      <c r="T14" s="36"/>
      <c r="U14" s="37">
        <v>150.0</v>
      </c>
      <c r="V14" s="37">
        <v>910.0</v>
      </c>
      <c r="W14" s="36"/>
      <c r="X14" s="37">
        <v>0</v>
      </c>
      <c r="Y14" s="37">
        <v>0</v>
      </c>
      <c r="Z14" s="37">
        <v>35.0</v>
      </c>
      <c r="AA14" s="36"/>
      <c r="AB14" s="36"/>
      <c r="AC14" s="37">
        <v>300.0</v>
      </c>
      <c r="AD14" s="37">
        <v>0</v>
      </c>
      <c r="AE14" s="37">
        <v>35.0</v>
      </c>
      <c r="AF14" s="36"/>
      <c r="AG14" s="37">
        <v>0</v>
      </c>
      <c r="AH14" s="36"/>
      <c r="AI14" s="37">
        <v>125.0</v>
      </c>
      <c r="AJ14" s="36"/>
      <c r="AK14" s="36"/>
      <c r="AL14" s="37">
        <f>B14+C14+D14+E14+F14+G14+H14+I14+J14+K14+L14+M14+N14+O14+P14+Q14+R14+S14+T14+U14+V14+W14+X14+Y14+Z14+AA14+AB14+AC14+AD14+AE14+AF14+AG14+AH14+AI14+AJ14+AK14</f>
        <v>4005.0</v>
      </c>
    </row>
    <row r="15" spans="1:38" ht="16">
      <c r="A15" s="29" t="s">
        <v>12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7">
        <v>140.0</v>
      </c>
      <c r="AL15" s="37">
        <f>B15+C15+D15+E15+F15+G15+H15+I15+J15+K15+L15+M15+N15+O15+P15+Q15+R15+S15+T15+U15+V15+W15+X15+Y15+Z15+AA15+AB15+AC15+AD15+AE15+AF15+AG15+AH15+AI15+AJ15+AK15</f>
        <v>140.0</v>
      </c>
    </row>
    <row r="16" spans="1:38" ht="16">
      <c r="A16" s="29" t="s">
        <v>13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7">
        <v>422.0</v>
      </c>
      <c r="AK16" s="36"/>
      <c r="AL16" s="37">
        <f>B16+C16+D16+E16+F16+G16+H16+I16+J16+K16+L16+M16+N16+O16+P16+Q16+R16+S16+T16+U16+V16+W16+X16+Y16+Z16+AA16+AB16+AC16+AD16+AE16+AF16+AG16+AH16+AI16+AJ16+AK16</f>
        <v>422.0</v>
      </c>
    </row>
    <row r="17" spans="1:38" ht="16">
      <c r="A17" s="29" t="s">
        <v>14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7">
        <v>337.5</v>
      </c>
      <c r="AL17" s="37">
        <f>B17+C17+D17+E17+F17+G17+H17+I17+J17+K17+L17+M17+N17+O17+P17+Q17+R17+S17+T17+U17+V17+W17+X17+Y17+Z17+AA17+AB17+AC17+AD17+AE17+AF17+AG17+AH17+AI17+AJ17+AK17</f>
        <v>337.5</v>
      </c>
    </row>
    <row r="18" spans="1:38" ht="16">
      <c r="A18" s="29" t="s">
        <v>15</v>
      </c>
      <c r="B18" s="36"/>
      <c r="C18" s="37">
        <v>305.0</v>
      </c>
      <c r="D18" s="37">
        <v>0</v>
      </c>
      <c r="E18" s="37">
        <v>35.0</v>
      </c>
      <c r="F18" s="36"/>
      <c r="G18" s="36"/>
      <c r="H18" s="37">
        <v>0</v>
      </c>
      <c r="I18" s="36"/>
      <c r="J18" s="37">
        <v>75.0</v>
      </c>
      <c r="K18" s="36"/>
      <c r="L18" s="36"/>
      <c r="M18" s="36"/>
      <c r="N18" s="37">
        <v>315.0</v>
      </c>
      <c r="O18" s="36"/>
      <c r="P18" s="37">
        <v>350.0</v>
      </c>
      <c r="Q18" s="37">
        <v>45.0</v>
      </c>
      <c r="R18" s="37">
        <v>60.0</v>
      </c>
      <c r="S18" s="37">
        <v>0</v>
      </c>
      <c r="T18" s="36"/>
      <c r="U18" s="36"/>
      <c r="V18" s="37">
        <v>475.0</v>
      </c>
      <c r="W18" s="36"/>
      <c r="X18" s="37">
        <v>0</v>
      </c>
      <c r="Y18" s="37">
        <v>1305.0</v>
      </c>
      <c r="Z18" s="36"/>
      <c r="AA18" s="36"/>
      <c r="AB18" s="36"/>
      <c r="AC18" s="37">
        <v>0</v>
      </c>
      <c r="AD18" s="36"/>
      <c r="AE18" s="36"/>
      <c r="AF18" s="37">
        <v>0</v>
      </c>
      <c r="AG18" s="37">
        <v>825.0</v>
      </c>
      <c r="AH18" s="37">
        <v>50.0</v>
      </c>
      <c r="AI18" s="37">
        <v>0</v>
      </c>
      <c r="AJ18" s="37">
        <v>0</v>
      </c>
      <c r="AK18" s="37">
        <v>405.0</v>
      </c>
      <c r="AL18" s="37">
        <f>B18+C18+D18+E18+F18+G18+H18+I18+J18+K18+L18+M18+N18+O18+P18+Q18+R18+S18+T18+U18+V18+W18+X18+Y18+Z18+AA18+AB18+AC18+AD18+AE18+AF18+AG18+AH18+AI18+AJ18+AK18</f>
        <v>4245.0</v>
      </c>
    </row>
    <row r="19" spans="1:38" ht="16">
      <c r="A19" s="29" t="s">
        <v>16</v>
      </c>
      <c r="B19" s="36"/>
      <c r="C19" s="36"/>
      <c r="D19" s="36"/>
      <c r="E19" s="36"/>
      <c r="F19" s="36"/>
      <c r="G19" s="36"/>
      <c r="H19" s="36"/>
      <c r="I19" s="36"/>
      <c r="J19" s="37">
        <v>590.0</v>
      </c>
      <c r="K19" s="37">
        <v>0</v>
      </c>
      <c r="L19" s="37">
        <v>0</v>
      </c>
      <c r="M19" s="37">
        <v>870.0</v>
      </c>
      <c r="N19" s="37">
        <v>450.0</v>
      </c>
      <c r="O19" s="36"/>
      <c r="P19" s="37">
        <v>350.0</v>
      </c>
      <c r="Q19" s="36"/>
      <c r="R19" s="37">
        <v>35.0</v>
      </c>
      <c r="S19" s="37">
        <v>0</v>
      </c>
      <c r="T19" s="37">
        <v>10.0</v>
      </c>
      <c r="U19" s="37">
        <v>30.0</v>
      </c>
      <c r="V19" s="36"/>
      <c r="W19" s="36"/>
      <c r="X19" s="37">
        <v>10.0</v>
      </c>
      <c r="Y19" s="36"/>
      <c r="Z19" s="37">
        <v>225.0</v>
      </c>
      <c r="AA19" s="36"/>
      <c r="AB19" s="37">
        <v>0</v>
      </c>
      <c r="AC19" s="36"/>
      <c r="AD19" s="36"/>
      <c r="AE19" s="36"/>
      <c r="AF19" s="36"/>
      <c r="AG19" s="37">
        <v>0</v>
      </c>
      <c r="AH19" s="37">
        <v>0</v>
      </c>
      <c r="AI19" s="37">
        <v>245.0</v>
      </c>
      <c r="AJ19" s="36"/>
      <c r="AK19" s="36"/>
      <c r="AL19" s="37">
        <f>B19+C19+D19+E19+F19+G19+H19+I19+J19+K19+L19+M19+N19+O19+P19+Q19+R19+S19+T19+U19+V19+W19+X19+Y19+Z19+AA19+AB19+AC19+AD19+AE19+AF19+AG19+AH19+AI19+AJ19+AK19</f>
        <v>2815.0</v>
      </c>
    </row>
    <row r="20" spans="1:38" ht="16">
      <c r="A20" s="29" t="s">
        <v>17</v>
      </c>
      <c r="B20" s="37">
        <v>50.0</v>
      </c>
      <c r="C20" s="36"/>
      <c r="D20" s="37">
        <v>280.0</v>
      </c>
      <c r="E20" s="36"/>
      <c r="F20" s="36"/>
      <c r="G20" s="36"/>
      <c r="H20" s="37">
        <v>50.0</v>
      </c>
      <c r="I20" s="36"/>
      <c r="J20" s="37">
        <v>500.0</v>
      </c>
      <c r="K20" s="36"/>
      <c r="L20" s="36"/>
      <c r="M20" s="37">
        <v>20.0</v>
      </c>
      <c r="N20" s="37">
        <v>0</v>
      </c>
      <c r="O20" s="37">
        <v>0</v>
      </c>
      <c r="P20" s="36"/>
      <c r="Q20" s="37">
        <v>0</v>
      </c>
      <c r="R20" s="36"/>
      <c r="S20" s="37">
        <v>0</v>
      </c>
      <c r="T20" s="36"/>
      <c r="U20" s="37">
        <v>210.0</v>
      </c>
      <c r="V20" s="36"/>
      <c r="W20" s="37">
        <v>0</v>
      </c>
      <c r="X20" s="37">
        <v>0</v>
      </c>
      <c r="Y20" s="37">
        <v>35.0</v>
      </c>
      <c r="Z20" s="37">
        <v>10.0</v>
      </c>
      <c r="AA20" s="36"/>
      <c r="AB20" s="36"/>
      <c r="AC20" s="36"/>
      <c r="AD20" s="36"/>
      <c r="AE20" s="36"/>
      <c r="AF20" s="37">
        <v>0</v>
      </c>
      <c r="AG20" s="37">
        <v>400.0</v>
      </c>
      <c r="AH20" s="36"/>
      <c r="AI20" s="37">
        <v>0</v>
      </c>
      <c r="AJ20" s="36"/>
      <c r="AK20" s="37">
        <v>0</v>
      </c>
      <c r="AL20" s="37">
        <f>B20+C20+D20+E20+F20+G20+H20+I20+J20+K20+L20+M20+N20+O20+P20+Q20+R20+S20+T20+U20+V20+W20+X20+Y20+Z20+AA20+AB20+AC20+AD20+AE20+AF20+AG20+AH20+AI20+AJ20+AK20</f>
        <v>1555.0</v>
      </c>
    </row>
    <row r="21" spans="1:38" ht="16">
      <c r="A21" s="29" t="s">
        <v>18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</row>
    <row r="22" spans="1:38" ht="16" outlineLevel="1">
      <c r="A22" s="30" t="s">
        <v>19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7">
        <v>216.25</v>
      </c>
      <c r="AI22" s="37">
        <v>365.0</v>
      </c>
      <c r="AJ22" s="36"/>
      <c r="AK22" s="36"/>
      <c r="AL22" s="37">
        <f>B22+C22+D22+E22+F22+G22+H22+I22+J22+K22+L22+M22+N22+O22+P22+Q22+R22+S22+T22+U22+V22+W22+X22+Y22+Z22+AA22+AB22+AC22+AD22+AE22+AF22+AG22+AH22+AI22+AJ22+AK22</f>
        <v>581.25</v>
      </c>
    </row>
    <row r="23" spans="1:38" ht="16" outlineLevel="1">
      <c r="A23" s="30" t="s">
        <v>20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7">
        <v>155.0</v>
      </c>
      <c r="AK23" s="37">
        <v>50.0</v>
      </c>
      <c r="AL23" s="37">
        <f>B23+C23+D23+E23+F23+G23+H23+I23+J23+K23+L23+M23+N23+O23+P23+Q23+R23+S23+T23+U23+V23+W23+X23+Y23+Z23+AA23+AB23+AC23+AD23+AE23+AF23+AG23+AH23+AI23+AJ23+AK23</f>
        <v>205.0</v>
      </c>
    </row>
    <row r="24" spans="1:38" ht="16">
      <c r="A24" s="31" t="s">
        <v>21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>
        <f>AH22+AH23</f>
        <v>216.25</v>
      </c>
      <c r="AI24" s="38">
        <f>AI22+AI23</f>
        <v>365.0</v>
      </c>
      <c r="AJ24" s="38">
        <f>AJ22+AJ23</f>
        <v>155.0</v>
      </c>
      <c r="AK24" s="38">
        <f>AK22+AK23</f>
        <v>50.0</v>
      </c>
      <c r="AL24" s="39">
        <f>B24+C24+D24+E24+F24+G24+H24+I24+J24+K24+L24+M24+N24+O24+P24+Q24+R24+S24+T24+U24+V24+W24+X24+Y24+Z24+AA24+AB24+AC24+AD24+AE24+AF24+AG24+AH24+AI24+AJ24+AK24</f>
        <v>786.25</v>
      </c>
    </row>
    <row r="25" spans="1:38" ht="16">
      <c r="A25" s="29" t="s">
        <v>22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7">
        <v>582.5</v>
      </c>
      <c r="AL25" s="37">
        <f>B25+C25+D25+E25+F25+G25+H25+I25+J25+K25+L25+M25+N25+O25+P25+Q25+R25+S25+T25+U25+V25+W25+X25+Y25+Z25+AA25+AB25+AC25+AD25+AE25+AF25+AG25+AH25+AI25+AJ25+AK25</f>
        <v>582.5</v>
      </c>
    </row>
    <row r="26" spans="1:38" ht="16">
      <c r="A26" s="29" t="s">
        <v>23</v>
      </c>
      <c r="B26" s="36"/>
      <c r="C26" s="37">
        <v>0</v>
      </c>
      <c r="D26" s="36"/>
      <c r="E26" s="36"/>
      <c r="F26" s="37">
        <v>35.0</v>
      </c>
      <c r="G26" s="36"/>
      <c r="H26" s="37">
        <v>70.0</v>
      </c>
      <c r="I26" s="36"/>
      <c r="J26" s="37">
        <v>450.0</v>
      </c>
      <c r="K26" s="37">
        <v>0</v>
      </c>
      <c r="L26" s="37">
        <v>0</v>
      </c>
      <c r="M26" s="37">
        <v>50.0</v>
      </c>
      <c r="N26" s="36"/>
      <c r="O26" s="36"/>
      <c r="P26" s="37">
        <v>0</v>
      </c>
      <c r="Q26" s="37">
        <v>0</v>
      </c>
      <c r="R26" s="37">
        <v>0</v>
      </c>
      <c r="S26" s="37">
        <v>0</v>
      </c>
      <c r="T26" s="36"/>
      <c r="U26" s="37">
        <v>105.0</v>
      </c>
      <c r="V26" s="36"/>
      <c r="W26" s="37">
        <v>0</v>
      </c>
      <c r="X26" s="36"/>
      <c r="Y26" s="36"/>
      <c r="Z26" s="37">
        <v>0</v>
      </c>
      <c r="AA26" s="36"/>
      <c r="AB26" s="36"/>
      <c r="AC26" s="36"/>
      <c r="AD26" s="36"/>
      <c r="AE26" s="36"/>
      <c r="AF26" s="37">
        <v>150.0</v>
      </c>
      <c r="AG26" s="36"/>
      <c r="AH26" s="37">
        <v>70.0</v>
      </c>
      <c r="AI26" s="36"/>
      <c r="AJ26" s="36"/>
      <c r="AK26" s="36"/>
      <c r="AL26" s="37">
        <f>B26+C26+D26+E26+F26+G26+H26+I26+J26+K26+L26+M26+N26+O26+P26+Q26+R26+S26+T26+U26+V26+W26+X26+Y26+Z26+AA26+AB26+AC26+AD26+AE26+AF26+AG26+AH26+AI26+AJ26+AK26</f>
        <v>930.0</v>
      </c>
    </row>
    <row r="27" spans="1:38" ht="16">
      <c r="A27" s="29" t="s">
        <v>24</v>
      </c>
      <c r="B27" s="36"/>
      <c r="C27" s="37">
        <v>75.0</v>
      </c>
      <c r="D27" s="36"/>
      <c r="E27" s="36"/>
      <c r="F27" s="36"/>
      <c r="G27" s="37">
        <v>35.0</v>
      </c>
      <c r="H27" s="36"/>
      <c r="I27" s="36"/>
      <c r="J27" s="36"/>
      <c r="K27" s="37">
        <v>0</v>
      </c>
      <c r="L27" s="36"/>
      <c r="M27" s="36"/>
      <c r="N27" s="36"/>
      <c r="O27" s="36"/>
      <c r="P27" s="37">
        <v>35.0</v>
      </c>
      <c r="Q27" s="36"/>
      <c r="R27" s="36"/>
      <c r="S27" s="36"/>
      <c r="T27" s="37">
        <v>140.0</v>
      </c>
      <c r="U27" s="37">
        <v>195.0</v>
      </c>
      <c r="V27" s="36"/>
      <c r="W27" s="37">
        <v>1270.0</v>
      </c>
      <c r="X27" s="37">
        <v>850.0</v>
      </c>
      <c r="Y27" s="37">
        <v>0</v>
      </c>
      <c r="Z27" s="36"/>
      <c r="AA27" s="37">
        <v>210.0</v>
      </c>
      <c r="AB27" s="36"/>
      <c r="AC27" s="37">
        <v>105.0</v>
      </c>
      <c r="AD27" s="37">
        <v>35.0</v>
      </c>
      <c r="AE27" s="37">
        <v>315.0</v>
      </c>
      <c r="AF27" s="37">
        <v>0</v>
      </c>
      <c r="AG27" s="36"/>
      <c r="AH27" s="36"/>
      <c r="AI27" s="36"/>
      <c r="AJ27" s="37">
        <v>0</v>
      </c>
      <c r="AK27" s="36"/>
      <c r="AL27" s="37">
        <f>B27+C27+D27+E27+F27+G27+H27+I27+J27+K27+L27+M27+N27+O27+P27+Q27+R27+S27+T27+U27+V27+W27+X27+Y27+Z27+AA27+AB27+AC27+AD27+AE27+AF27+AG27+AH27+AI27+AJ27+AK27</f>
        <v>3265.0</v>
      </c>
    </row>
    <row r="28" spans="1:38" ht="16">
      <c r="A28" s="29" t="s">
        <v>25</v>
      </c>
      <c r="B28" s="36"/>
      <c r="C28" s="36"/>
      <c r="D28" s="36"/>
      <c r="E28" s="36"/>
      <c r="F28" s="37">
        <v>315.0</v>
      </c>
      <c r="G28" s="36"/>
      <c r="H28" s="37">
        <v>-50.0</v>
      </c>
      <c r="I28" s="37">
        <v>0</v>
      </c>
      <c r="J28" s="37">
        <v>0</v>
      </c>
      <c r="K28" s="36"/>
      <c r="L28" s="36"/>
      <c r="M28" s="37">
        <v>10.0</v>
      </c>
      <c r="N28" s="37">
        <v>0</v>
      </c>
      <c r="O28" s="36"/>
      <c r="P28" s="36"/>
      <c r="Q28" s="37">
        <v>75.0</v>
      </c>
      <c r="R28" s="37">
        <v>0</v>
      </c>
      <c r="S28" s="37">
        <v>0</v>
      </c>
      <c r="T28" s="37">
        <v>0</v>
      </c>
      <c r="U28" s="36"/>
      <c r="V28" s="36"/>
      <c r="W28" s="36"/>
      <c r="X28" s="36"/>
      <c r="Y28" s="36"/>
      <c r="Z28" s="36"/>
      <c r="AA28" s="36"/>
      <c r="AB28" s="36"/>
      <c r="AC28" s="37">
        <v>0</v>
      </c>
      <c r="AD28" s="36"/>
      <c r="AE28" s="36"/>
      <c r="AF28" s="36"/>
      <c r="AG28" s="37">
        <v>0</v>
      </c>
      <c r="AH28" s="37">
        <v>715.0</v>
      </c>
      <c r="AI28" s="36"/>
      <c r="AJ28" s="37">
        <v>435.0</v>
      </c>
      <c r="AK28" s="36"/>
      <c r="AL28" s="37">
        <f>B28+C28+D28+E28+F28+G28+H28+I28+J28+K28+L28+M28+N28+O28+P28+Q28+R28+S28+T28+U28+V28+W28+X28+Y28+Z28+AA28+AB28+AC28+AD28+AE28+AF28+AG28+AH28+AI28+AJ28+AK28</f>
        <v>1500.0</v>
      </c>
    </row>
    <row r="29" spans="1:38" ht="16">
      <c r="A29" s="29" t="s">
        <v>26</v>
      </c>
      <c r="B29" s="36"/>
      <c r="C29" s="37">
        <v>50.0</v>
      </c>
      <c r="D29" s="37">
        <v>0</v>
      </c>
      <c r="E29" s="37">
        <v>20.0</v>
      </c>
      <c r="F29" s="36"/>
      <c r="G29" s="37">
        <v>525.0</v>
      </c>
      <c r="H29" s="37">
        <v>0</v>
      </c>
      <c r="I29" s="37">
        <v>0</v>
      </c>
      <c r="J29" s="37">
        <v>35.0</v>
      </c>
      <c r="K29" s="37">
        <v>0</v>
      </c>
      <c r="L29" s="36"/>
      <c r="M29" s="37">
        <v>0</v>
      </c>
      <c r="N29" s="37">
        <v>35.0</v>
      </c>
      <c r="O29" s="36"/>
      <c r="P29" s="36"/>
      <c r="Q29" s="37">
        <v>0</v>
      </c>
      <c r="R29" s="37">
        <v>100.0</v>
      </c>
      <c r="S29" s="36"/>
      <c r="T29" s="37">
        <v>50.0</v>
      </c>
      <c r="U29" s="36"/>
      <c r="V29" s="37">
        <v>350.0</v>
      </c>
      <c r="W29" s="37">
        <v>0</v>
      </c>
      <c r="X29" s="36"/>
      <c r="Y29" s="36"/>
      <c r="Z29" s="36"/>
      <c r="AA29" s="36"/>
      <c r="AB29" s="37">
        <v>260.0</v>
      </c>
      <c r="AC29" s="37">
        <v>150.0</v>
      </c>
      <c r="AD29" s="36"/>
      <c r="AE29" s="36"/>
      <c r="AF29" s="36"/>
      <c r="AG29" s="37">
        <v>210.0</v>
      </c>
      <c r="AH29" s="37">
        <v>260.0</v>
      </c>
      <c r="AI29" s="36"/>
      <c r="AJ29" s="37">
        <v>150.0</v>
      </c>
      <c r="AK29" s="37">
        <v>10.0</v>
      </c>
      <c r="AL29" s="37">
        <f>B29+C29+D29+E29+F29+G29+H29+I29+J29+K29+L29+M29+N29+O29+P29+Q29+R29+S29+T29+U29+V29+W29+X29+Y29+Z29+AA29+AB29+AC29+AD29+AE29+AF29+AG29+AH29+AI29+AJ29+AK29</f>
        <v>2205.0</v>
      </c>
    </row>
    <row r="30" spans="1:38" ht="16">
      <c r="A30" s="29" t="s">
        <v>27</v>
      </c>
      <c r="B30" s="37">
        <v>0</v>
      </c>
      <c r="C30" s="37">
        <v>0</v>
      </c>
      <c r="D30" s="37">
        <v>50.0</v>
      </c>
      <c r="E30" s="37">
        <v>0</v>
      </c>
      <c r="F30" s="37">
        <v>380.0</v>
      </c>
      <c r="G30" s="36"/>
      <c r="H30" s="36"/>
      <c r="I30" s="37">
        <v>0</v>
      </c>
      <c r="J30" s="37">
        <v>0</v>
      </c>
      <c r="K30" s="37">
        <v>150.0</v>
      </c>
      <c r="L30" s="37">
        <v>0</v>
      </c>
      <c r="M30" s="36"/>
      <c r="N30" s="37">
        <v>210.0</v>
      </c>
      <c r="O30" s="37">
        <v>75.0</v>
      </c>
      <c r="P30" s="37">
        <v>0</v>
      </c>
      <c r="Q30" s="36"/>
      <c r="R30" s="36"/>
      <c r="S30" s="37">
        <v>100.0</v>
      </c>
      <c r="T30" s="36"/>
      <c r="U30" s="37">
        <v>0</v>
      </c>
      <c r="V30" s="36"/>
      <c r="W30" s="36"/>
      <c r="X30" s="37">
        <v>215.0</v>
      </c>
      <c r="Y30" s="36"/>
      <c r="Z30" s="36"/>
      <c r="AA30" s="37">
        <v>0</v>
      </c>
      <c r="AB30" s="36"/>
      <c r="AC30" s="37">
        <v>750.0</v>
      </c>
      <c r="AD30" s="37">
        <v>0</v>
      </c>
      <c r="AE30" s="36"/>
      <c r="AF30" s="37">
        <v>280.0</v>
      </c>
      <c r="AG30" s="37">
        <v>50.0</v>
      </c>
      <c r="AH30" s="36"/>
      <c r="AI30" s="37">
        <v>0</v>
      </c>
      <c r="AJ30" s="37">
        <v>0</v>
      </c>
      <c r="AK30" s="37">
        <v>0</v>
      </c>
      <c r="AL30" s="37">
        <f>B30+C30+D30+E30+F30+G30+H30+I30+J30+K30+L30+M30+N30+O30+P30+Q30+R30+S30+T30+U30+V30+W30+X30+Y30+Z30+AA30+AB30+AC30+AD30+AE30+AF30+AG30+AH30+AI30+AJ30+AK30</f>
        <v>2260.0</v>
      </c>
    </row>
    <row r="31" spans="1:38" ht="16">
      <c r="A31" s="29" t="s">
        <v>28</v>
      </c>
      <c r="B31" s="37">
        <v>665.0</v>
      </c>
      <c r="C31" s="37">
        <v>0</v>
      </c>
      <c r="D31" s="36"/>
      <c r="E31" s="37">
        <v>0</v>
      </c>
      <c r="F31" s="36"/>
      <c r="G31" s="37">
        <v>0</v>
      </c>
      <c r="H31" s="36"/>
      <c r="I31" s="36"/>
      <c r="J31" s="37">
        <v>50.0</v>
      </c>
      <c r="K31" s="37">
        <v>400.0</v>
      </c>
      <c r="L31" s="37">
        <v>0</v>
      </c>
      <c r="M31" s="37">
        <v>600.0</v>
      </c>
      <c r="N31" s="36"/>
      <c r="O31" s="37">
        <v>70.0</v>
      </c>
      <c r="P31" s="36"/>
      <c r="Q31" s="36"/>
      <c r="R31" s="36"/>
      <c r="S31" s="37">
        <v>225.0</v>
      </c>
      <c r="T31" s="36"/>
      <c r="U31" s="36"/>
      <c r="V31" s="36"/>
      <c r="W31" s="37">
        <v>755.0</v>
      </c>
      <c r="X31" s="36"/>
      <c r="Y31" s="37">
        <v>0</v>
      </c>
      <c r="Z31" s="36"/>
      <c r="AA31" s="37">
        <v>675.0</v>
      </c>
      <c r="AB31" s="36"/>
      <c r="AC31" s="36"/>
      <c r="AD31" s="36"/>
      <c r="AE31" s="37">
        <v>450.0</v>
      </c>
      <c r="AF31" s="36"/>
      <c r="AG31" s="37">
        <v>0</v>
      </c>
      <c r="AH31" s="37">
        <v>740.0</v>
      </c>
      <c r="AI31" s="37">
        <v>10.0</v>
      </c>
      <c r="AJ31" s="37">
        <v>310.0</v>
      </c>
      <c r="AK31" s="36"/>
      <c r="AL31" s="37">
        <f>B31+C31+D31+E31+F31+G31+H31+I31+J31+K31+L31+M31+N31+O31+P31+Q31+R31+S31+T31+U31+V31+W31+X31+Y31+Z31+AA31+AB31+AC31+AD31+AE31+AF31+AG31+AH31+AI31+AJ31+AK31</f>
        <v>4950.0</v>
      </c>
    </row>
    <row r="32" spans="1:38" ht="16">
      <c r="A32" s="29" t="s">
        <v>29</v>
      </c>
      <c r="B32" s="37">
        <v>0</v>
      </c>
      <c r="C32" s="36"/>
      <c r="D32" s="36"/>
      <c r="E32" s="36"/>
      <c r="F32" s="36"/>
      <c r="G32" s="37">
        <v>375.0</v>
      </c>
      <c r="H32" s="36"/>
      <c r="I32" s="37">
        <v>700.0</v>
      </c>
      <c r="J32" s="36"/>
      <c r="K32" s="37">
        <v>50.0</v>
      </c>
      <c r="L32" s="36"/>
      <c r="M32" s="36"/>
      <c r="N32" s="37">
        <v>50.0</v>
      </c>
      <c r="O32" s="36"/>
      <c r="P32" s="37">
        <v>550.0</v>
      </c>
      <c r="Q32" s="36"/>
      <c r="R32" s="36"/>
      <c r="S32" s="37">
        <v>0</v>
      </c>
      <c r="T32" s="37">
        <v>70.0</v>
      </c>
      <c r="U32" s="36"/>
      <c r="V32" s="37">
        <v>75.0</v>
      </c>
      <c r="W32" s="36"/>
      <c r="X32" s="37">
        <v>-35.0</v>
      </c>
      <c r="Y32" s="37">
        <v>315.0</v>
      </c>
      <c r="Z32" s="36"/>
      <c r="AA32" s="36"/>
      <c r="AB32" s="37">
        <v>35.0</v>
      </c>
      <c r="AC32" s="36"/>
      <c r="AD32" s="37">
        <v>320.0</v>
      </c>
      <c r="AE32" s="36"/>
      <c r="AF32" s="37">
        <v>0</v>
      </c>
      <c r="AG32" s="36"/>
      <c r="AH32" s="36"/>
      <c r="AI32" s="37">
        <v>0</v>
      </c>
      <c r="AJ32" s="37">
        <v>0</v>
      </c>
      <c r="AK32" s="37">
        <v>350.0</v>
      </c>
      <c r="AL32" s="37">
        <f>B32+C32+D32+E32+F32+G32+H32+I32+J32+K32+L32+M32+N32+O32+P32+Q32+R32+S32+T32+U32+V32+W32+X32+Y32+Z32+AA32+AB32+AC32+AD32+AE32+AF32+AG32+AH32+AI32+AJ32+AK32</f>
        <v>2855.0</v>
      </c>
    </row>
    <row r="33" spans="1:38" ht="16">
      <c r="A33" s="29" t="s">
        <v>30</v>
      </c>
      <c r="B33" s="36"/>
      <c r="C33" s="36"/>
      <c r="D33" s="36"/>
      <c r="E33" s="37">
        <v>0</v>
      </c>
      <c r="F33" s="36"/>
      <c r="G33" s="37">
        <v>0</v>
      </c>
      <c r="H33" s="37">
        <v>0</v>
      </c>
      <c r="I33" s="37">
        <v>-10.0</v>
      </c>
      <c r="J33" s="37">
        <v>155.0</v>
      </c>
      <c r="K33" s="36"/>
      <c r="L33" s="37">
        <v>175.0</v>
      </c>
      <c r="M33" s="36"/>
      <c r="N33" s="37">
        <v>855.0</v>
      </c>
      <c r="O33" s="37">
        <v>0</v>
      </c>
      <c r="P33" s="36"/>
      <c r="Q33" s="37">
        <v>0</v>
      </c>
      <c r="R33" s="37">
        <v>0</v>
      </c>
      <c r="S33" s="36"/>
      <c r="T33" s="36"/>
      <c r="U33" s="36"/>
      <c r="V33" s="37">
        <v>175.0</v>
      </c>
      <c r="W33" s="37">
        <v>0</v>
      </c>
      <c r="X33" s="36"/>
      <c r="Y33" s="37">
        <v>10.0</v>
      </c>
      <c r="Z33" s="36"/>
      <c r="AA33" s="37">
        <v>0</v>
      </c>
      <c r="AB33" s="37">
        <v>0</v>
      </c>
      <c r="AC33" s="36"/>
      <c r="AD33" s="36"/>
      <c r="AE33" s="36"/>
      <c r="AF33" s="37">
        <v>50.0</v>
      </c>
      <c r="AG33" s="37">
        <v>35.0</v>
      </c>
      <c r="AH33" s="36"/>
      <c r="AI33" s="36"/>
      <c r="AJ33" s="36"/>
      <c r="AK33" s="37">
        <v>50.0</v>
      </c>
      <c r="AL33" s="37">
        <f>B33+C33+D33+E33+F33+G33+H33+I33+J33+K33+L33+M33+N33+O33+P33+Q33+R33+S33+T33+U33+V33+W33+X33+Y33+Z33+AA33+AB33+AC33+AD33+AE33+AF33+AG33+AH33+AI33+AJ33+AK33</f>
        <v>1495.0</v>
      </c>
    </row>
    <row r="34" spans="1:38" ht="16">
      <c r="A34" s="29" t="s">
        <v>31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7">
        <v>75.0</v>
      </c>
      <c r="AL34" s="37">
        <f>B34+C34+D34+E34+F34+G34+H34+I34+J34+K34+L34+M34+N34+O34+P34+Q34+R34+S34+T34+U34+V34+W34+X34+Y34+Z34+AA34+AB34+AC34+AD34+AE34+AF34+AG34+AH34+AI34+AJ34+AK34</f>
        <v>75.0</v>
      </c>
    </row>
    <row r="35" spans="1:38" ht="16">
      <c r="A35" s="29" t="s">
        <v>32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7">
        <v>750.0</v>
      </c>
      <c r="AL35" s="37">
        <f>B35+C35+D35+E35+F35+G35+H35+I35+J35+K35+L35+M35+N35+O35+P35+Q35+R35+S35+T35+U35+V35+W35+X35+Y35+Z35+AA35+AB35+AC35+AD35+AE35+AF35+AG35+AH35+AI35+AJ35+AK35</f>
        <v>750.0</v>
      </c>
    </row>
    <row r="36" spans="1:38" ht="16">
      <c r="A36" s="29" t="s">
        <v>33</v>
      </c>
      <c r="B36" s="36"/>
      <c r="C36" s="36"/>
      <c r="D36" s="36"/>
      <c r="E36" s="37">
        <v>0</v>
      </c>
      <c r="F36" s="37">
        <v>0</v>
      </c>
      <c r="G36" s="36"/>
      <c r="H36" s="36"/>
      <c r="I36" s="37">
        <v>0</v>
      </c>
      <c r="J36" s="37">
        <v>0</v>
      </c>
      <c r="K36" s="37">
        <v>290.0</v>
      </c>
      <c r="L36" s="37">
        <v>950.0</v>
      </c>
      <c r="M36" s="37">
        <v>0</v>
      </c>
      <c r="N36" s="36"/>
      <c r="O36" s="37">
        <v>0</v>
      </c>
      <c r="P36" s="37">
        <v>100.0</v>
      </c>
      <c r="Q36" s="36"/>
      <c r="R36" s="37">
        <v>0</v>
      </c>
      <c r="S36" s="37">
        <v>245.0</v>
      </c>
      <c r="T36" s="37">
        <v>0</v>
      </c>
      <c r="U36" s="37">
        <v>105.0</v>
      </c>
      <c r="V36" s="37">
        <v>0</v>
      </c>
      <c r="W36" s="37">
        <v>10.0</v>
      </c>
      <c r="X36" s="36"/>
      <c r="Y36" s="37">
        <v>0</v>
      </c>
      <c r="Z36" s="36"/>
      <c r="AA36" s="37">
        <v>265.0</v>
      </c>
      <c r="AB36" s="37">
        <v>315.0</v>
      </c>
      <c r="AC36" s="37">
        <v>0</v>
      </c>
      <c r="AD36" s="37">
        <v>0</v>
      </c>
      <c r="AE36" s="37">
        <v>0</v>
      </c>
      <c r="AF36" s="36"/>
      <c r="AG36" s="37">
        <v>0</v>
      </c>
      <c r="AH36" s="37">
        <v>245.0</v>
      </c>
      <c r="AI36" s="37">
        <v>-75.0</v>
      </c>
      <c r="AJ36" s="37">
        <v>0</v>
      </c>
      <c r="AK36" s="36"/>
      <c r="AL36" s="37">
        <f>B36+C36+D36+E36+F36+G36+H36+I36+J36+K36+L36+M36+N36+O36+P36+Q36+R36+S36+T36+U36+V36+W36+X36+Y36+Z36+AA36+AB36+AC36+AD36+AE36+AF36+AG36+AH36+AI36+AJ36+AK36</f>
        <v>2450.0</v>
      </c>
    </row>
    <row r="37" spans="1:38" ht="16">
      <c r="A37" s="29" t="s">
        <v>34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7">
        <v>225.0</v>
      </c>
      <c r="AL37" s="37">
        <f>B37+C37+D37+E37+F37+G37+H37+I37+J37+K37+L37+M37+N37+O37+P37+Q37+R37+S37+T37+U37+V37+W37+X37+Y37+Z37+AA37+AB37+AC37+AD37+AE37+AF37+AG37+AH37+AI37+AJ37+AK37</f>
        <v>225.0</v>
      </c>
    </row>
    <row r="38" spans="1:38" ht="16">
      <c r="A38" s="29" t="s">
        <v>35</v>
      </c>
      <c r="B38" s="37">
        <v>0</v>
      </c>
      <c r="C38" s="37">
        <v>0</v>
      </c>
      <c r="D38" s="37">
        <v>450.0</v>
      </c>
      <c r="E38" s="37">
        <v>0</v>
      </c>
      <c r="F38" s="36"/>
      <c r="G38" s="36"/>
      <c r="H38" s="36"/>
      <c r="I38" s="37">
        <v>0</v>
      </c>
      <c r="J38" s="36"/>
      <c r="K38" s="37">
        <v>140.0</v>
      </c>
      <c r="L38" s="37">
        <v>0</v>
      </c>
      <c r="M38" s="36"/>
      <c r="N38" s="36"/>
      <c r="O38" s="37">
        <v>0</v>
      </c>
      <c r="P38" s="37">
        <v>10.0</v>
      </c>
      <c r="Q38" s="37">
        <v>0</v>
      </c>
      <c r="R38" s="37">
        <v>0</v>
      </c>
      <c r="S38" s="37">
        <v>0</v>
      </c>
      <c r="T38" s="37">
        <v>0</v>
      </c>
      <c r="U38" s="37">
        <v>-35.0</v>
      </c>
      <c r="V38" s="36"/>
      <c r="W38" s="37">
        <v>105.0</v>
      </c>
      <c r="X38" s="36"/>
      <c r="Y38" s="36"/>
      <c r="Z38" s="36"/>
      <c r="AA38" s="36"/>
      <c r="AB38" s="36"/>
      <c r="AC38" s="36"/>
      <c r="AD38" s="36"/>
      <c r="AE38" s="36"/>
      <c r="AF38" s="36"/>
      <c r="AG38" s="37">
        <v>0</v>
      </c>
      <c r="AH38" s="37">
        <v>900.0</v>
      </c>
      <c r="AI38" s="36"/>
      <c r="AJ38" s="36"/>
      <c r="AK38" s="37">
        <v>800.0</v>
      </c>
      <c r="AL38" s="37">
        <f>B38+C38+D38+E38+F38+G38+H38+I38+J38+K38+L38+M38+N38+O38+P38+Q38+R38+S38+T38+U38+V38+W38+X38+Y38+Z38+AA38+AB38+AC38+AD38+AE38+AF38+AG38+AH38+AI38+AJ38+AK38</f>
        <v>2370.0</v>
      </c>
    </row>
    <row r="39" spans="1:38" ht="16">
      <c r="A39" s="29" t="s">
        <v>36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7">
        <v>75.0</v>
      </c>
      <c r="AK39" s="36"/>
      <c r="AL39" s="37">
        <f>B39+C39+D39+E39+F39+G39+H39+I39+J39+K39+L39+M39+N39+O39+P39+Q39+R39+S39+T39+U39+V39+W39+X39+Y39+Z39+AA39+AB39+AC39+AD39+AE39+AF39+AG39+AH39+AI39+AJ39+AK39</f>
        <v>75.0</v>
      </c>
    </row>
    <row r="40" spans="1:38" ht="16">
      <c r="A40" s="29" t="s">
        <v>37</v>
      </c>
      <c r="B40" s="37">
        <v>175.0</v>
      </c>
      <c r="C40" s="36"/>
      <c r="D40" s="36"/>
      <c r="E40" s="36"/>
      <c r="F40" s="36"/>
      <c r="G40" s="36"/>
      <c r="H40" s="36"/>
      <c r="I40" s="37">
        <v>20.0</v>
      </c>
      <c r="J40" s="36"/>
      <c r="K40" s="36"/>
      <c r="L40" s="37">
        <v>10.0</v>
      </c>
      <c r="M40" s="36"/>
      <c r="N40" s="36"/>
      <c r="O40" s="37">
        <v>35.0</v>
      </c>
      <c r="P40" s="36"/>
      <c r="Q40" s="36"/>
      <c r="R40" s="37">
        <v>385.0</v>
      </c>
      <c r="S40" s="36"/>
      <c r="T40" s="37">
        <v>0</v>
      </c>
      <c r="U40" s="37">
        <v>0</v>
      </c>
      <c r="V40" s="36"/>
      <c r="W40" s="37">
        <v>175.0</v>
      </c>
      <c r="X40" s="37">
        <v>35.0</v>
      </c>
      <c r="Y40" s="36"/>
      <c r="Z40" s="37">
        <v>0</v>
      </c>
      <c r="AA40" s="37">
        <v>-50.0</v>
      </c>
      <c r="AB40" s="37">
        <v>45.0</v>
      </c>
      <c r="AC40" s="37">
        <v>0</v>
      </c>
      <c r="AD40" s="37">
        <v>10.0</v>
      </c>
      <c r="AE40" s="37">
        <v>0</v>
      </c>
      <c r="AF40" s="37">
        <v>60.0</v>
      </c>
      <c r="AG40" s="36"/>
      <c r="AH40" s="36"/>
      <c r="AI40" s="37">
        <v>140.0</v>
      </c>
      <c r="AJ40" s="37">
        <v>710.0</v>
      </c>
      <c r="AK40" s="36"/>
      <c r="AL40" s="37">
        <f>B40+C40+D40+E40+F40+G40+H40+I40+J40+K40+L40+M40+N40+O40+P40+Q40+R40+S40+T40+U40+V40+W40+X40+Y40+Z40+AA40+AB40+AC40+AD40+AE40+AF40+AG40+AH40+AI40+AJ40+AK40</f>
        <v>1750.0</v>
      </c>
    </row>
    <row r="41" spans="1:38" ht="16">
      <c r="A41" s="29" t="s">
        <v>38</v>
      </c>
      <c r="B41" s="37">
        <v>105.0</v>
      </c>
      <c r="C41" s="36"/>
      <c r="D41" s="37">
        <v>80.0</v>
      </c>
      <c r="E41" s="36"/>
      <c r="F41" s="36"/>
      <c r="G41" s="37">
        <v>0</v>
      </c>
      <c r="H41" s="37">
        <v>0</v>
      </c>
      <c r="I41" s="37">
        <v>0</v>
      </c>
      <c r="J41" s="36"/>
      <c r="K41" s="36"/>
      <c r="L41" s="37">
        <v>0</v>
      </c>
      <c r="M41" s="37">
        <v>50.0</v>
      </c>
      <c r="N41" s="36"/>
      <c r="O41" s="37">
        <v>0</v>
      </c>
      <c r="P41" s="37">
        <v>395.0</v>
      </c>
      <c r="Q41" s="36"/>
      <c r="R41" s="37">
        <v>0</v>
      </c>
      <c r="S41" s="37">
        <v>75.0</v>
      </c>
      <c r="T41" s="36"/>
      <c r="U41" s="36"/>
      <c r="V41" s="37">
        <v>75.0</v>
      </c>
      <c r="W41" s="37">
        <v>750.0</v>
      </c>
      <c r="X41" s="37">
        <v>0</v>
      </c>
      <c r="Y41" s="37">
        <v>35.0</v>
      </c>
      <c r="Z41" s="37">
        <v>450.0</v>
      </c>
      <c r="AA41" s="37">
        <v>35.0</v>
      </c>
      <c r="AB41" s="37">
        <v>0</v>
      </c>
      <c r="AC41" s="36"/>
      <c r="AD41" s="36"/>
      <c r="AE41" s="37">
        <v>210.0</v>
      </c>
      <c r="AF41" s="37">
        <v>0</v>
      </c>
      <c r="AG41" s="37">
        <v>35.0</v>
      </c>
      <c r="AH41" s="36"/>
      <c r="AI41" s="37">
        <v>35.0</v>
      </c>
      <c r="AJ41" s="36"/>
      <c r="AK41" s="36"/>
      <c r="AL41" s="37">
        <f>B41+C41+D41+E41+F41+G41+H41+I41+J41+K41+L41+M41+N41+O41+P41+Q41+R41+S41+T41+U41+V41+W41+X41+Y41+Z41+AA41+AB41+AC41+AD41+AE41+AF41+AG41+AH41+AI41+AJ41+AK41</f>
        <v>2330.0</v>
      </c>
    </row>
    <row r="42" spans="1:38" ht="16">
      <c r="A42" s="29" t="s">
        <v>39</v>
      </c>
      <c r="B42" s="37">
        <v>0</v>
      </c>
      <c r="C42" s="37">
        <v>615.0</v>
      </c>
      <c r="D42" s="37">
        <v>35.0</v>
      </c>
      <c r="E42" s="37">
        <v>0</v>
      </c>
      <c r="F42" s="36"/>
      <c r="G42" s="37">
        <v>20.0</v>
      </c>
      <c r="H42" s="36"/>
      <c r="I42" s="36"/>
      <c r="J42" s="37">
        <v>0</v>
      </c>
      <c r="K42" s="36"/>
      <c r="L42" s="37">
        <v>35.0</v>
      </c>
      <c r="M42" s="37">
        <v>-50.0</v>
      </c>
      <c r="N42" s="36"/>
      <c r="O42" s="36"/>
      <c r="P42" s="36"/>
      <c r="Q42" s="37">
        <v>0</v>
      </c>
      <c r="R42" s="36"/>
      <c r="S42" s="37">
        <v>375.0</v>
      </c>
      <c r="T42" s="36"/>
      <c r="U42" s="37">
        <v>175.0</v>
      </c>
      <c r="V42" s="36"/>
      <c r="W42" s="36"/>
      <c r="X42" s="36"/>
      <c r="Y42" s="36"/>
      <c r="Z42" s="37">
        <v>300.0</v>
      </c>
      <c r="AA42" s="36"/>
      <c r="AB42" s="37">
        <v>465.0</v>
      </c>
      <c r="AC42" s="37">
        <v>150.0</v>
      </c>
      <c r="AD42" s="36"/>
      <c r="AE42" s="37">
        <v>0</v>
      </c>
      <c r="AF42" s="36"/>
      <c r="AG42" s="37">
        <v>0</v>
      </c>
      <c r="AH42" s="37">
        <v>40.0</v>
      </c>
      <c r="AI42" s="37">
        <v>0</v>
      </c>
      <c r="AJ42" s="36"/>
      <c r="AK42" s="37">
        <v>0</v>
      </c>
      <c r="AL42" s="37">
        <f>B42+C42+D42+E42+F42+G42+H42+I42+J42+K42+L42+M42+N42+O42+P42+Q42+R42+S42+T42+U42+V42+W42+X42+Y42+Z42+AA42+AB42+AC42+AD42+AE42+AF42+AG42+AH42+AI42+AJ42+AK42</f>
        <v>2160.0</v>
      </c>
    </row>
    <row r="43" spans="1:38" ht="16">
      <c r="A43" s="29" t="s">
        <v>40</v>
      </c>
      <c r="B43" s="36"/>
      <c r="C43" s="36"/>
      <c r="D43" s="36"/>
      <c r="E43" s="36"/>
      <c r="F43" s="37">
        <v>0</v>
      </c>
      <c r="G43" s="37">
        <v>0</v>
      </c>
      <c r="H43" s="36"/>
      <c r="I43" s="37">
        <v>300.0</v>
      </c>
      <c r="J43" s="37">
        <v>40.0</v>
      </c>
      <c r="K43" s="36"/>
      <c r="L43" s="37">
        <v>0</v>
      </c>
      <c r="M43" s="36"/>
      <c r="N43" s="37">
        <v>0</v>
      </c>
      <c r="O43" s="36"/>
      <c r="P43" s="36"/>
      <c r="Q43" s="37">
        <v>0</v>
      </c>
      <c r="R43" s="37">
        <v>35.0</v>
      </c>
      <c r="S43" s="36"/>
      <c r="T43" s="36"/>
      <c r="U43" s="36"/>
      <c r="V43" s="37">
        <v>170.0</v>
      </c>
      <c r="W43" s="36"/>
      <c r="X43" s="36"/>
      <c r="Y43" s="37">
        <v>0</v>
      </c>
      <c r="Z43" s="37">
        <v>0</v>
      </c>
      <c r="AA43" s="36"/>
      <c r="AB43" s="36"/>
      <c r="AC43" s="37">
        <v>450.0</v>
      </c>
      <c r="AD43" s="36"/>
      <c r="AE43" s="36"/>
      <c r="AF43" s="37">
        <v>0</v>
      </c>
      <c r="AG43" s="36"/>
      <c r="AH43" s="37">
        <v>0</v>
      </c>
      <c r="AI43" s="36"/>
      <c r="AJ43" s="37">
        <v>10.0</v>
      </c>
      <c r="AK43" s="37">
        <v>0</v>
      </c>
      <c r="AL43" s="37">
        <f>B43+C43+D43+E43+F43+G43+H43+I43+J43+K43+L43+M43+N43+O43+P43+Q43+R43+S43+T43+U43+V43+W43+X43+Y43+Z43+AA43+AB43+AC43+AD43+AE43+AF43+AG43+AH43+AI43+AJ43+AK43</f>
        <v>1005.0</v>
      </c>
    </row>
    <row r="44" spans="1:38" ht="16">
      <c r="A44" s="29" t="s">
        <v>41</v>
      </c>
      <c r="B44" s="36"/>
      <c r="C44" s="36"/>
      <c r="D44" s="37">
        <v>35.0</v>
      </c>
      <c r="E44" s="37">
        <v>50.0</v>
      </c>
      <c r="F44" s="36"/>
      <c r="G44" s="36"/>
      <c r="H44" s="37">
        <v>35.0</v>
      </c>
      <c r="I44" s="36"/>
      <c r="J44" s="37">
        <v>0</v>
      </c>
      <c r="K44" s="36"/>
      <c r="L44" s="37">
        <v>50.0</v>
      </c>
      <c r="M44" s="36"/>
      <c r="N44" s="36"/>
      <c r="O44" s="37">
        <v>30.0</v>
      </c>
      <c r="P44" s="36"/>
      <c r="Q44" s="36"/>
      <c r="R44" s="36"/>
      <c r="S44" s="37">
        <v>200.0</v>
      </c>
      <c r="T44" s="37">
        <v>20.0</v>
      </c>
      <c r="U44" s="36"/>
      <c r="V44" s="37">
        <v>0</v>
      </c>
      <c r="W44" s="36"/>
      <c r="X44" s="36"/>
      <c r="Y44" s="36"/>
      <c r="Z44" s="37">
        <v>150.0</v>
      </c>
      <c r="AA44" s="37">
        <v>575.0</v>
      </c>
      <c r="AB44" s="37">
        <v>35.0</v>
      </c>
      <c r="AC44" s="36"/>
      <c r="AD44" s="36"/>
      <c r="AE44" s="37">
        <v>100.0</v>
      </c>
      <c r="AF44" s="37">
        <v>280.0</v>
      </c>
      <c r="AG44" s="36"/>
      <c r="AH44" s="37">
        <v>0</v>
      </c>
      <c r="AI44" s="37">
        <v>375.0</v>
      </c>
      <c r="AJ44" s="37">
        <v>0</v>
      </c>
      <c r="AK44" s="37">
        <v>175.0</v>
      </c>
      <c r="AL44" s="37">
        <f>B44+C44+D44+E44+F44+G44+H44+I44+J44+K44+L44+M44+N44+O44+P44+Q44+R44+S44+T44+U44+V44+W44+X44+Y44+Z44+AA44+AB44+AC44+AD44+AE44+AF44+AG44+AH44+AI44+AJ44+AK44</f>
        <v>2110.0</v>
      </c>
    </row>
    <row r="45" spans="1:38" ht="16">
      <c r="A45" s="29" t="s">
        <v>42</v>
      </c>
      <c r="B45" s="36"/>
      <c r="C45" s="36"/>
      <c r="D45" s="37">
        <v>0</v>
      </c>
      <c r="E45" s="36"/>
      <c r="F45" s="36"/>
      <c r="G45" s="37">
        <v>600.0</v>
      </c>
      <c r="H45" s="36"/>
      <c r="I45" s="36"/>
      <c r="J45" s="37">
        <v>100.0</v>
      </c>
      <c r="K45" s="37">
        <v>0</v>
      </c>
      <c r="L45" s="37">
        <v>0</v>
      </c>
      <c r="M45" s="36"/>
      <c r="N45" s="36"/>
      <c r="O45" s="36"/>
      <c r="P45" s="36"/>
      <c r="Q45" s="36"/>
      <c r="R45" s="37">
        <v>540.0</v>
      </c>
      <c r="S45" s="37">
        <v>1200.0</v>
      </c>
      <c r="T45" s="36"/>
      <c r="U45" s="37">
        <v>0</v>
      </c>
      <c r="V45" s="37">
        <v>0</v>
      </c>
      <c r="W45" s="37">
        <v>0</v>
      </c>
      <c r="X45" s="37">
        <v>675.0</v>
      </c>
      <c r="Y45" s="36"/>
      <c r="Z45" s="37">
        <v>430.0</v>
      </c>
      <c r="AA45" s="36"/>
      <c r="AB45" s="36"/>
      <c r="AC45" s="36"/>
      <c r="AD45" s="36"/>
      <c r="AE45" s="36"/>
      <c r="AF45" s="37">
        <v>0</v>
      </c>
      <c r="AG45" s="37">
        <v>0</v>
      </c>
      <c r="AH45" s="37">
        <v>35.0</v>
      </c>
      <c r="AI45" s="37">
        <v>150.0</v>
      </c>
      <c r="AJ45" s="37">
        <v>670.0</v>
      </c>
      <c r="AK45" s="37">
        <v>0</v>
      </c>
      <c r="AL45" s="37">
        <f>B45+C45+D45+E45+F45+G45+H45+I45+J45+K45+L45+M45+N45+O45+P45+Q45+R45+S45+T45+U45+V45+W45+X45+Y45+Z45+AA45+AB45+AC45+AD45+AE45+AF45+AG45+AH45+AI45+AJ45+AK45</f>
        <v>4400.0</v>
      </c>
    </row>
    <row r="46" spans="1:38" ht="16">
      <c r="A46" s="29" t="s">
        <v>43</v>
      </c>
      <c r="B46" s="36"/>
      <c r="C46" s="37">
        <v>0</v>
      </c>
      <c r="D46" s="36"/>
      <c r="E46" s="37">
        <v>35.0</v>
      </c>
      <c r="F46" s="37">
        <v>35.0</v>
      </c>
      <c r="G46" s="37">
        <v>75.0</v>
      </c>
      <c r="H46" s="36"/>
      <c r="I46" s="37">
        <v>350.0</v>
      </c>
      <c r="J46" s="37">
        <v>50.0</v>
      </c>
      <c r="K46" s="36"/>
      <c r="L46" s="37">
        <v>0</v>
      </c>
      <c r="M46" s="37">
        <v>100.0</v>
      </c>
      <c r="N46" s="36"/>
      <c r="O46" s="37">
        <v>0</v>
      </c>
      <c r="P46" s="36"/>
      <c r="Q46" s="37">
        <v>-25.0</v>
      </c>
      <c r="R46" s="37">
        <v>0</v>
      </c>
      <c r="S46" s="36"/>
      <c r="T46" s="36"/>
      <c r="U46" s="36"/>
      <c r="V46" s="37">
        <v>140.0</v>
      </c>
      <c r="W46" s="36"/>
      <c r="X46" s="37">
        <v>0</v>
      </c>
      <c r="Y46" s="37">
        <v>0</v>
      </c>
      <c r="Z46" s="37">
        <v>0</v>
      </c>
      <c r="AA46" s="37">
        <v>800.0</v>
      </c>
      <c r="AB46" s="36"/>
      <c r="AC46" s="37">
        <v>175.0</v>
      </c>
      <c r="AD46" s="37">
        <v>150.0</v>
      </c>
      <c r="AE46" s="37">
        <v>50.0</v>
      </c>
      <c r="AF46" s="37">
        <v>0</v>
      </c>
      <c r="AG46" s="36"/>
      <c r="AH46" s="36"/>
      <c r="AI46" s="37">
        <v>0</v>
      </c>
      <c r="AJ46" s="36"/>
      <c r="AK46" s="37">
        <v>350.0</v>
      </c>
      <c r="AL46" s="37">
        <f>B46+C46+D46+E46+F46+G46+H46+I46+J46+K46+L46+M46+N46+O46+P46+Q46+R46+S46+T46+U46+V46+W46+X46+Y46+Z46+AA46+AB46+AC46+AD46+AE46+AF46+AG46+AH46+AI46+AJ46+AK46</f>
        <v>2285.0</v>
      </c>
    </row>
    <row r="47" spans="1:38" ht="16">
      <c r="A47" s="29" t="s">
        <v>44</v>
      </c>
      <c r="B47" s="36"/>
      <c r="C47" s="36"/>
      <c r="D47" s="36"/>
      <c r="E47" s="36"/>
      <c r="F47" s="37">
        <v>540.0</v>
      </c>
      <c r="G47" s="36"/>
      <c r="H47" s="36"/>
      <c r="I47" s="37">
        <v>1100.0</v>
      </c>
      <c r="J47" s="37">
        <v>0</v>
      </c>
      <c r="K47" s="36"/>
      <c r="L47" s="37">
        <v>0</v>
      </c>
      <c r="M47" s="37">
        <v>0</v>
      </c>
      <c r="N47" s="37">
        <v>0</v>
      </c>
      <c r="O47" s="36"/>
      <c r="P47" s="36"/>
      <c r="Q47" s="36"/>
      <c r="R47" s="37">
        <v>10.0</v>
      </c>
      <c r="S47" s="37">
        <v>290.0</v>
      </c>
      <c r="T47" s="36"/>
      <c r="U47" s="36"/>
      <c r="V47" s="37">
        <v>140.0</v>
      </c>
      <c r="W47" s="36"/>
      <c r="X47" s="37">
        <v>0</v>
      </c>
      <c r="Y47" s="37">
        <v>0</v>
      </c>
      <c r="Z47" s="37">
        <v>0</v>
      </c>
      <c r="AA47" s="37">
        <v>385.0</v>
      </c>
      <c r="AB47" s="37">
        <v>140.0</v>
      </c>
      <c r="AC47" s="37">
        <v>75.0</v>
      </c>
      <c r="AD47" s="37">
        <v>105.0</v>
      </c>
      <c r="AE47" s="37">
        <v>245.0</v>
      </c>
      <c r="AF47" s="36"/>
      <c r="AG47" s="36"/>
      <c r="AH47" s="37">
        <v>70.0</v>
      </c>
      <c r="AI47" s="36"/>
      <c r="AJ47" s="36"/>
      <c r="AK47" s="37">
        <v>50.0</v>
      </c>
      <c r="AL47" s="37">
        <f>B47+C47+D47+E47+F47+G47+H47+I47+J47+K47+L47+M47+N47+O47+P47+Q47+R47+S47+T47+U47+V47+W47+X47+Y47+Z47+AA47+AB47+AC47+AD47+AE47+AF47+AG47+AH47+AI47+AJ47+AK47</f>
        <v>3150.0</v>
      </c>
    </row>
    <row r="48" spans="1:38" ht="16">
      <c r="A48" s="29" t="s">
        <v>45</v>
      </c>
      <c r="B48" s="36"/>
      <c r="C48" s="36"/>
      <c r="D48" s="36"/>
      <c r="E48" s="36"/>
      <c r="F48" s="36"/>
      <c r="G48" s="36"/>
      <c r="H48" s="37">
        <v>35.0</v>
      </c>
      <c r="I48" s="36"/>
      <c r="J48" s="37">
        <v>0</v>
      </c>
      <c r="K48" s="37">
        <v>375.0</v>
      </c>
      <c r="L48" s="36"/>
      <c r="M48" s="36"/>
      <c r="N48" s="36"/>
      <c r="O48" s="37">
        <v>105.0</v>
      </c>
      <c r="P48" s="37">
        <v>225.0</v>
      </c>
      <c r="Q48" s="37">
        <v>385.0</v>
      </c>
      <c r="R48" s="36"/>
      <c r="S48" s="37">
        <v>0</v>
      </c>
      <c r="T48" s="36"/>
      <c r="U48" s="37">
        <v>0</v>
      </c>
      <c r="V48" s="36"/>
      <c r="W48" s="36"/>
      <c r="X48" s="36"/>
      <c r="Y48" s="37">
        <v>350.0</v>
      </c>
      <c r="Z48" s="36"/>
      <c r="AA48" s="37">
        <v>1350.0</v>
      </c>
      <c r="AB48" s="37">
        <v>160.0</v>
      </c>
      <c r="AC48" s="36"/>
      <c r="AD48" s="37">
        <v>610.0</v>
      </c>
      <c r="AE48" s="37">
        <v>0</v>
      </c>
      <c r="AF48" s="36"/>
      <c r="AG48" s="36"/>
      <c r="AH48" s="36"/>
      <c r="AI48" s="37">
        <v>315.0</v>
      </c>
      <c r="AJ48" s="37">
        <v>60.0</v>
      </c>
      <c r="AK48" s="37">
        <v>45.0</v>
      </c>
      <c r="AL48" s="37">
        <f>B48+C48+D48+E48+F48+G48+H48+I48+J48+K48+L48+M48+N48+O48+P48+Q48+R48+S48+T48+U48+V48+W48+X48+Y48+Z48+AA48+AB48+AC48+AD48+AE48+AF48+AG48+AH48+AI48+AJ48+AK48</f>
        <v>4015.0</v>
      </c>
    </row>
    <row r="49" spans="1:38" ht="16">
      <c r="A49" s="29" t="s">
        <v>46</v>
      </c>
      <c r="B49" s="36"/>
      <c r="C49" s="36"/>
      <c r="D49" s="36"/>
      <c r="E49" s="36"/>
      <c r="F49" s="36"/>
      <c r="G49" s="37">
        <v>20.0</v>
      </c>
      <c r="H49" s="37">
        <v>0</v>
      </c>
      <c r="I49" s="37">
        <v>35.0</v>
      </c>
      <c r="J49" s="37">
        <v>0</v>
      </c>
      <c r="K49" s="37">
        <v>525.0</v>
      </c>
      <c r="L49" s="37">
        <v>0</v>
      </c>
      <c r="M49" s="37">
        <v>0</v>
      </c>
      <c r="N49" s="37">
        <v>0</v>
      </c>
      <c r="O49" s="37">
        <v>560.0</v>
      </c>
      <c r="P49" s="36"/>
      <c r="Q49" s="37">
        <v>0</v>
      </c>
      <c r="R49" s="37">
        <v>0</v>
      </c>
      <c r="S49" s="37">
        <v>445.0</v>
      </c>
      <c r="T49" s="37">
        <v>175.0</v>
      </c>
      <c r="U49" s="36"/>
      <c r="V49" s="37">
        <v>300.0</v>
      </c>
      <c r="W49" s="36"/>
      <c r="X49" s="36"/>
      <c r="Y49" s="37">
        <v>210.0</v>
      </c>
      <c r="Z49" s="37">
        <v>50.0</v>
      </c>
      <c r="AA49" s="36"/>
      <c r="AB49" s="36"/>
      <c r="AC49" s="36"/>
      <c r="AD49" s="36"/>
      <c r="AE49" s="37">
        <v>0</v>
      </c>
      <c r="AF49" s="37">
        <v>0</v>
      </c>
      <c r="AG49" s="37">
        <v>0</v>
      </c>
      <c r="AH49" s="37">
        <v>35.0</v>
      </c>
      <c r="AI49" s="36"/>
      <c r="AJ49" s="37">
        <v>0</v>
      </c>
      <c r="AK49" s="37">
        <v>225.0</v>
      </c>
      <c r="AL49" s="37">
        <f>B49+C49+D49+E49+F49+G49+H49+I49+J49+K49+L49+M49+N49+O49+P49+Q49+R49+S49+T49+U49+V49+W49+X49+Y49+Z49+AA49+AB49+AC49+AD49+AE49+AF49+AG49+AH49+AI49+AJ49+AK49</f>
        <v>2580.0</v>
      </c>
    </row>
    <row r="50" spans="1:38" ht="16">
      <c r="A50" s="29" t="s">
        <v>47</v>
      </c>
      <c r="B50" s="37">
        <v>125.0</v>
      </c>
      <c r="C50" s="36"/>
      <c r="D50" s="37">
        <v>885.0</v>
      </c>
      <c r="E50" s="36"/>
      <c r="F50" s="36"/>
      <c r="G50" s="36"/>
      <c r="H50" s="36"/>
      <c r="I50" s="36"/>
      <c r="J50" s="36"/>
      <c r="K50" s="37">
        <v>50.0</v>
      </c>
      <c r="L50" s="36"/>
      <c r="M50" s="36"/>
      <c r="N50" s="36"/>
      <c r="O50" s="36"/>
      <c r="P50" s="37">
        <v>0</v>
      </c>
      <c r="Q50" s="36"/>
      <c r="R50" s="36"/>
      <c r="S50" s="36"/>
      <c r="T50" s="37">
        <v>0</v>
      </c>
      <c r="U50" s="37">
        <v>50.0</v>
      </c>
      <c r="V50" s="37">
        <v>0</v>
      </c>
      <c r="W50" s="37">
        <v>0</v>
      </c>
      <c r="X50" s="36"/>
      <c r="Y50" s="37">
        <v>0</v>
      </c>
      <c r="Z50" s="37">
        <v>35.0</v>
      </c>
      <c r="AA50" s="37">
        <v>245.0</v>
      </c>
      <c r="AB50" s="36"/>
      <c r="AC50" s="36"/>
      <c r="AD50" s="37">
        <v>0</v>
      </c>
      <c r="AE50" s="37">
        <v>245.0</v>
      </c>
      <c r="AF50" s="36"/>
      <c r="AG50" s="36"/>
      <c r="AH50" s="37">
        <v>0</v>
      </c>
      <c r="AI50" s="36"/>
      <c r="AJ50" s="36"/>
      <c r="AK50" s="36"/>
      <c r="AL50" s="37">
        <f>B50+C50+D50+E50+F50+G50+H50+I50+J50+K50+L50+M50+N50+O50+P50+Q50+R50+S50+T50+U50+V50+W50+X50+Y50+Z50+AA50+AB50+AC50+AD50+AE50+AF50+AG50+AH50+AI50+AJ50+AK50</f>
        <v>1635.0</v>
      </c>
    </row>
    <row r="51" spans="1:38" ht="16">
      <c r="A51" s="29" t="s">
        <v>48</v>
      </c>
      <c r="B51" s="36"/>
      <c r="C51" s="36"/>
      <c r="D51" s="36"/>
      <c r="E51" s="36"/>
      <c r="F51" s="37">
        <v>0</v>
      </c>
      <c r="G51" s="36"/>
      <c r="H51" s="37">
        <v>0</v>
      </c>
      <c r="I51" s="36"/>
      <c r="J51" s="36"/>
      <c r="K51" s="36"/>
      <c r="L51" s="36"/>
      <c r="M51" s="37">
        <v>0</v>
      </c>
      <c r="N51" s="36"/>
      <c r="O51" s="37">
        <v>845.0</v>
      </c>
      <c r="P51" s="37">
        <v>80.0</v>
      </c>
      <c r="Q51" s="37">
        <v>35.0</v>
      </c>
      <c r="R51" s="37">
        <v>0</v>
      </c>
      <c r="S51" s="37">
        <v>-75.0</v>
      </c>
      <c r="T51" s="37">
        <v>750.0</v>
      </c>
      <c r="U51" s="36"/>
      <c r="V51" s="37">
        <v>695.0</v>
      </c>
      <c r="W51" s="36"/>
      <c r="X51" s="37">
        <v>0</v>
      </c>
      <c r="Y51" s="37">
        <v>0</v>
      </c>
      <c r="Z51" s="36"/>
      <c r="AA51" s="36"/>
      <c r="AB51" s="36"/>
      <c r="AC51" s="37">
        <v>470.0</v>
      </c>
      <c r="AD51" s="37">
        <v>0</v>
      </c>
      <c r="AE51" s="37">
        <v>0</v>
      </c>
      <c r="AF51" s="37">
        <v>0</v>
      </c>
      <c r="AG51" s="37">
        <v>0</v>
      </c>
      <c r="AH51" s="36"/>
      <c r="AI51" s="37">
        <v>0</v>
      </c>
      <c r="AJ51" s="36"/>
      <c r="AK51" s="36"/>
      <c r="AL51" s="37">
        <f>B51+C51+D51+E51+F51+G51+H51+I51+J51+K51+L51+M51+N51+O51+P51+Q51+R51+S51+T51+U51+V51+W51+X51+Y51+Z51+AA51+AB51+AC51+AD51+AE51+AF51+AG51+AH51+AI51+AJ51+AK51</f>
        <v>2800.0</v>
      </c>
    </row>
    <row r="52" spans="1:38" ht="16">
      <c r="A52" s="29" t="s">
        <v>49</v>
      </c>
      <c r="B52" s="36"/>
      <c r="C52" s="37">
        <v>0</v>
      </c>
      <c r="D52" s="36"/>
      <c r="E52" s="37">
        <v>120.0</v>
      </c>
      <c r="F52" s="37">
        <v>0</v>
      </c>
      <c r="G52" s="37">
        <v>0</v>
      </c>
      <c r="H52" s="37">
        <v>350.0</v>
      </c>
      <c r="I52" s="36"/>
      <c r="J52" s="36"/>
      <c r="K52" s="37">
        <v>0</v>
      </c>
      <c r="L52" s="36"/>
      <c r="M52" s="36"/>
      <c r="N52" s="37">
        <v>0</v>
      </c>
      <c r="O52" s="36"/>
      <c r="P52" s="37">
        <v>0</v>
      </c>
      <c r="Q52" s="37">
        <v>0</v>
      </c>
      <c r="R52" s="37">
        <v>0</v>
      </c>
      <c r="S52" s="36"/>
      <c r="T52" s="36"/>
      <c r="U52" s="37">
        <v>20.0</v>
      </c>
      <c r="V52" s="36"/>
      <c r="W52" s="37">
        <v>35.0</v>
      </c>
      <c r="X52" s="37">
        <v>400.0</v>
      </c>
      <c r="Y52" s="36"/>
      <c r="Z52" s="36"/>
      <c r="AA52" s="37">
        <v>10.0</v>
      </c>
      <c r="AB52" s="37">
        <v>865.0</v>
      </c>
      <c r="AC52" s="37">
        <v>35.0</v>
      </c>
      <c r="AD52" s="37">
        <v>0</v>
      </c>
      <c r="AE52" s="37">
        <v>0</v>
      </c>
      <c r="AF52" s="36"/>
      <c r="AG52" s="36"/>
      <c r="AH52" s="37">
        <v>0</v>
      </c>
      <c r="AI52" s="37">
        <v>70.0</v>
      </c>
      <c r="AJ52" s="37">
        <v>105.0</v>
      </c>
      <c r="AK52" s="36"/>
      <c r="AL52" s="37">
        <f>B52+C52+D52+E52+F52+G52+H52+I52+J52+K52+L52+M52+N52+O52+P52+Q52+R52+S52+T52+U52+V52+W52+X52+Y52+Z52+AA52+AB52+AC52+AD52+AE52+AF52+AG52+AH52+AI52+AJ52+AK52</f>
        <v>2010.0</v>
      </c>
    </row>
    <row r="53" spans="1:38" ht="16">
      <c r="A53" s="29" t="s">
        <v>50</v>
      </c>
      <c r="B53" s="36"/>
      <c r="C53" s="37">
        <v>50.0</v>
      </c>
      <c r="D53" s="36"/>
      <c r="E53" s="36"/>
      <c r="F53" s="37">
        <v>350.0</v>
      </c>
      <c r="G53" s="36"/>
      <c r="H53" s="36"/>
      <c r="I53" s="37">
        <v>265.0</v>
      </c>
      <c r="J53" s="37">
        <v>1100.0</v>
      </c>
      <c r="K53" s="36"/>
      <c r="L53" s="36"/>
      <c r="M53" s="36"/>
      <c r="N53" s="36"/>
      <c r="O53" s="36"/>
      <c r="P53" s="36"/>
      <c r="Q53" s="37">
        <v>35.0</v>
      </c>
      <c r="R53" s="37">
        <v>0</v>
      </c>
      <c r="S53" s="36"/>
      <c r="T53" s="37">
        <v>150.0</v>
      </c>
      <c r="U53" s="37">
        <v>400.0</v>
      </c>
      <c r="V53" s="36"/>
      <c r="W53" s="36"/>
      <c r="X53" s="36"/>
      <c r="Y53" s="37">
        <v>35.0</v>
      </c>
      <c r="Z53" s="36"/>
      <c r="AA53" s="36"/>
      <c r="AB53" s="37">
        <v>0</v>
      </c>
      <c r="AC53" s="37">
        <v>375.0</v>
      </c>
      <c r="AD53" s="37">
        <v>0</v>
      </c>
      <c r="AE53" s="37">
        <v>0</v>
      </c>
      <c r="AF53" s="37">
        <v>0</v>
      </c>
      <c r="AG53" s="37">
        <v>0</v>
      </c>
      <c r="AH53" s="37">
        <v>0</v>
      </c>
      <c r="AI53" s="37">
        <v>0</v>
      </c>
      <c r="AJ53" s="36"/>
      <c r="AK53" s="36"/>
      <c r="AL53" s="37">
        <f>B53+C53+D53+E53+F53+G53+H53+I53+J53+K53+L53+M53+N53+O53+P53+Q53+R53+S53+T53+U53+V53+W53+X53+Y53+Z53+AA53+AB53+AC53+AD53+AE53+AF53+AG53+AH53+AI53+AJ53+AK53</f>
        <v>2760.0</v>
      </c>
    </row>
    <row r="54" spans="1:38" ht="16">
      <c r="A54" s="29" t="s">
        <v>51</v>
      </c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7">
        <v>954.75</v>
      </c>
      <c r="AL54" s="37">
        <f>B54+C54+D54+E54+F54+G54+H54+I54+J54+K54+L54+M54+N54+O54+P54+Q54+R54+S54+T54+U54+V54+W54+X54+Y54+Z54+AA54+AB54+AC54+AD54+AE54+AF54+AG54+AH54+AI54+AJ54+AK54</f>
        <v>954.75</v>
      </c>
    </row>
    <row r="55" spans="1:38" ht="16">
      <c r="A55" s="29" t="s">
        <v>52</v>
      </c>
      <c r="B55" s="36"/>
      <c r="C55" s="37">
        <v>450.0</v>
      </c>
      <c r="D55" s="37">
        <v>0</v>
      </c>
      <c r="E55" s="37">
        <v>560.0</v>
      </c>
      <c r="F55" s="36"/>
      <c r="G55" s="37">
        <v>50.0</v>
      </c>
      <c r="H55" s="37">
        <v>0</v>
      </c>
      <c r="I55" s="36"/>
      <c r="J55" s="36"/>
      <c r="K55" s="36"/>
      <c r="L55" s="37">
        <v>0</v>
      </c>
      <c r="M55" s="36"/>
      <c r="N55" s="37">
        <v>100.0</v>
      </c>
      <c r="O55" s="36"/>
      <c r="P55" s="37">
        <v>0</v>
      </c>
      <c r="Q55" s="36"/>
      <c r="R55" s="37">
        <v>-35.0</v>
      </c>
      <c r="S55" s="36"/>
      <c r="T55" s="37">
        <v>250.0</v>
      </c>
      <c r="U55" s="36"/>
      <c r="V55" s="36"/>
      <c r="W55" s="37">
        <v>75.0</v>
      </c>
      <c r="X55" s="36"/>
      <c r="Y55" s="36"/>
      <c r="Z55" s="36"/>
      <c r="AA55" s="36"/>
      <c r="AB55" s="36"/>
      <c r="AC55" s="36"/>
      <c r="AD55" s="36"/>
      <c r="AE55" s="36"/>
      <c r="AF55" s="36"/>
      <c r="AG55" s="37">
        <v>0</v>
      </c>
      <c r="AH55" s="37">
        <v>760.0</v>
      </c>
      <c r="AI55" s="36"/>
      <c r="AJ55" s="37">
        <v>75.0</v>
      </c>
      <c r="AK55" s="36"/>
      <c r="AL55" s="37">
        <f>B55+C55+D55+E55+F55+G55+H55+I55+J55+K55+L55+M55+N55+O55+P55+Q55+R55+S55+T55+U55+V55+W55+X55+Y55+Z55+AA55+AB55+AC55+AD55+AE55+AF55+AG55+AH55+AI55+AJ55+AK55</f>
        <v>2285.0</v>
      </c>
    </row>
    <row r="56" spans="1:38" ht="16">
      <c r="A56" s="29" t="s">
        <v>53</v>
      </c>
      <c r="B56" s="36"/>
      <c r="C56" s="36"/>
      <c r="D56" s="36"/>
      <c r="E56" s="37">
        <v>0</v>
      </c>
      <c r="F56" s="36"/>
      <c r="G56" s="36"/>
      <c r="H56" s="36"/>
      <c r="I56" s="37">
        <v>0</v>
      </c>
      <c r="J56" s="36"/>
      <c r="K56" s="37">
        <v>10.0</v>
      </c>
      <c r="L56" s="36"/>
      <c r="M56" s="37">
        <v>315.0</v>
      </c>
      <c r="N56" s="36"/>
      <c r="O56" s="37">
        <v>100.0</v>
      </c>
      <c r="P56" s="37">
        <v>0</v>
      </c>
      <c r="Q56" s="36"/>
      <c r="R56" s="36"/>
      <c r="S56" s="36"/>
      <c r="T56" s="36"/>
      <c r="U56" s="36"/>
      <c r="V56" s="36"/>
      <c r="W56" s="37">
        <v>0</v>
      </c>
      <c r="X56" s="37">
        <v>0</v>
      </c>
      <c r="Y56" s="37">
        <v>0</v>
      </c>
      <c r="Z56" s="37">
        <v>0</v>
      </c>
      <c r="AA56" s="37">
        <v>0</v>
      </c>
      <c r="AB56" s="36"/>
      <c r="AC56" s="37">
        <v>35.0</v>
      </c>
      <c r="AD56" s="37">
        <v>250.0</v>
      </c>
      <c r="AE56" s="37">
        <v>0</v>
      </c>
      <c r="AF56" s="37">
        <v>35.0</v>
      </c>
      <c r="AG56" s="37">
        <v>0</v>
      </c>
      <c r="AH56" s="37">
        <v>0</v>
      </c>
      <c r="AI56" s="36"/>
      <c r="AJ56" s="37">
        <v>375.0</v>
      </c>
      <c r="AK56" s="36"/>
      <c r="AL56" s="37">
        <f>B56+C56+D56+E56+F56+G56+H56+I56+J56+K56+L56+M56+N56+O56+P56+Q56+R56+S56+T56+U56+V56+W56+X56+Y56+Z56+AA56+AB56+AC56+AD56+AE56+AF56+AG56+AH56+AI56+AJ56+AK56</f>
        <v>1120.0</v>
      </c>
    </row>
    <row r="57" spans="1:38" ht="16">
      <c r="A57" s="29" t="s">
        <v>54</v>
      </c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7">
        <v>-8.75</v>
      </c>
      <c r="AL57" s="37">
        <f>B57+C57+D57+E57+F57+G57+H57+I57+J57+K57+L57+M57+N57+O57+P57+Q57+R57+S57+T57+U57+V57+W57+X57+Y57+Z57+AA57+AB57+AC57+AD57+AE57+AF57+AG57+AH57+AI57+AJ57+AK57</f>
        <v>-8.75</v>
      </c>
    </row>
    <row r="58" spans="1:38" ht="16">
      <c r="A58" s="29" t="s">
        <v>55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7">
        <v>156.0</v>
      </c>
      <c r="AJ58" s="36"/>
      <c r="AK58" s="37">
        <v>70.0</v>
      </c>
      <c r="AL58" s="37">
        <f>B58+C58+D58+E58+F58+G58+H58+I58+J58+K58+L58+M58+N58+O58+P58+Q58+R58+S58+T58+U58+V58+W58+X58+Y58+Z58+AA58+AB58+AC58+AD58+AE58+AF58+AG58+AH58+AI58+AJ58+AK58</f>
        <v>226.0</v>
      </c>
    </row>
    <row r="59" spans="1:38" ht="16">
      <c r="A59" s="29" t="s">
        <v>56</v>
      </c>
      <c r="B59" s="36"/>
      <c r="C59" s="36"/>
      <c r="D59" s="36"/>
      <c r="E59" s="37">
        <v>0</v>
      </c>
      <c r="F59" s="36"/>
      <c r="G59" s="37">
        <v>0</v>
      </c>
      <c r="H59" s="36"/>
      <c r="I59" s="37">
        <v>245.0</v>
      </c>
      <c r="J59" s="36"/>
      <c r="K59" s="37">
        <v>175.0</v>
      </c>
      <c r="L59" s="36"/>
      <c r="M59" s="36"/>
      <c r="N59" s="37">
        <v>0</v>
      </c>
      <c r="O59" s="36"/>
      <c r="P59" s="36"/>
      <c r="Q59" s="36"/>
      <c r="R59" s="37">
        <v>0</v>
      </c>
      <c r="S59" s="37">
        <v>0</v>
      </c>
      <c r="T59" s="36"/>
      <c r="U59" s="36"/>
      <c r="V59" s="37">
        <v>75.0</v>
      </c>
      <c r="W59" s="37">
        <v>0</v>
      </c>
      <c r="X59" s="37">
        <v>0</v>
      </c>
      <c r="Y59" s="37">
        <v>0</v>
      </c>
      <c r="Z59" s="37">
        <v>0</v>
      </c>
      <c r="AA59" s="37">
        <v>445.0</v>
      </c>
      <c r="AB59" s="37">
        <v>0</v>
      </c>
      <c r="AC59" s="36"/>
      <c r="AD59" s="37">
        <v>0</v>
      </c>
      <c r="AE59" s="37">
        <v>0</v>
      </c>
      <c r="AF59" s="36"/>
      <c r="AG59" s="37">
        <v>0</v>
      </c>
      <c r="AH59" s="36"/>
      <c r="AI59" s="36"/>
      <c r="AJ59" s="36"/>
      <c r="AK59" s="37">
        <v>0</v>
      </c>
      <c r="AL59" s="37">
        <f>B59+C59+D59+E59+F59+G59+H59+I59+J59+K59+L59+M59+N59+O59+P59+Q59+R59+S59+T59+U59+V59+W59+X59+Y59+Z59+AA59+AB59+AC59+AD59+AE59+AF59+AG59+AH59+AI59+AJ59+AK59</f>
        <v>940.0</v>
      </c>
    </row>
    <row r="60" spans="1:38" ht="16">
      <c r="A60" s="29" t="s">
        <v>57</v>
      </c>
      <c r="B60" s="37">
        <v>90.0</v>
      </c>
      <c r="C60" s="37">
        <v>10.0</v>
      </c>
      <c r="D60" s="37">
        <v>0</v>
      </c>
      <c r="E60" s="37">
        <v>-75.0</v>
      </c>
      <c r="F60" s="37">
        <v>70.0</v>
      </c>
      <c r="G60" s="36"/>
      <c r="H60" s="37">
        <v>0</v>
      </c>
      <c r="I60" s="36"/>
      <c r="J60" s="36"/>
      <c r="K60" s="36"/>
      <c r="L60" s="36"/>
      <c r="M60" s="37">
        <v>675.0</v>
      </c>
      <c r="N60" s="36"/>
      <c r="O60" s="36"/>
      <c r="P60" s="37">
        <v>35.0</v>
      </c>
      <c r="Q60" s="36"/>
      <c r="R60" s="36"/>
      <c r="S60" s="36"/>
      <c r="T60" s="37">
        <v>0</v>
      </c>
      <c r="U60" s="36"/>
      <c r="V60" s="36"/>
      <c r="W60" s="36"/>
      <c r="X60" s="36"/>
      <c r="Y60" s="37">
        <v>105.0</v>
      </c>
      <c r="Z60" s="36"/>
      <c r="AA60" s="37">
        <v>480.0</v>
      </c>
      <c r="AB60" s="36"/>
      <c r="AC60" s="37">
        <v>400.0</v>
      </c>
      <c r="AD60" s="37">
        <v>900.0</v>
      </c>
      <c r="AE60" s="37">
        <v>300.0</v>
      </c>
      <c r="AF60" s="37">
        <v>35.0</v>
      </c>
      <c r="AG60" s="36"/>
      <c r="AH60" s="36"/>
      <c r="AI60" s="36"/>
      <c r="AJ60" s="36"/>
      <c r="AK60" s="36"/>
      <c r="AL60" s="37">
        <f>B60+C60+D60+E60+F60+G60+H60+I60+J60+K60+L60+M60+N60+O60+P60+Q60+R60+S60+T60+U60+V60+W60+X60+Y60+Z60+AA60+AB60+AC60+AD60+AE60+AF60+AG60+AH60+AI60+AJ60+AK60</f>
        <v>3025.0</v>
      </c>
    </row>
    <row r="61" spans="1:38" ht="16">
      <c r="A61" s="29" t="s">
        <v>58</v>
      </c>
      <c r="B61" s="36"/>
      <c r="C61" s="36"/>
      <c r="D61" s="36"/>
      <c r="E61" s="36"/>
      <c r="F61" s="36"/>
      <c r="G61" s="37">
        <v>180.0</v>
      </c>
      <c r="H61" s="36"/>
      <c r="I61" s="36"/>
      <c r="J61" s="36"/>
      <c r="K61" s="37">
        <v>10.0</v>
      </c>
      <c r="L61" s="37">
        <v>50.0</v>
      </c>
      <c r="M61" s="36"/>
      <c r="N61" s="37">
        <v>60.0</v>
      </c>
      <c r="O61" s="36"/>
      <c r="P61" s="37">
        <v>115.0</v>
      </c>
      <c r="Q61" s="37">
        <v>0</v>
      </c>
      <c r="R61" s="37">
        <v>0</v>
      </c>
      <c r="S61" s="36"/>
      <c r="T61" s="36"/>
      <c r="U61" s="37">
        <v>0</v>
      </c>
      <c r="V61" s="37">
        <v>0</v>
      </c>
      <c r="W61" s="36"/>
      <c r="X61" s="37">
        <v>70.0</v>
      </c>
      <c r="Y61" s="37">
        <v>0</v>
      </c>
      <c r="Z61" s="36"/>
      <c r="AA61" s="36"/>
      <c r="AB61" s="36"/>
      <c r="AC61" s="37">
        <v>0</v>
      </c>
      <c r="AD61" s="36"/>
      <c r="AE61" s="36"/>
      <c r="AF61" s="37">
        <v>175.0</v>
      </c>
      <c r="AG61" s="37">
        <v>0</v>
      </c>
      <c r="AH61" s="37">
        <v>-50.0</v>
      </c>
      <c r="AI61" s="36"/>
      <c r="AJ61" s="36"/>
      <c r="AK61" s="37">
        <v>585.0</v>
      </c>
      <c r="AL61" s="37">
        <f>B61+C61+D61+E61+F61+G61+H61+I61+J61+K61+L61+M61+N61+O61+P61+Q61+R61+S61+T61+U61+V61+W61+X61+Y61+Z61+AA61+AB61+AC61+AD61+AE61+AF61+AG61+AH61+AI61+AJ61+AK61</f>
        <v>1195.0</v>
      </c>
    </row>
    <row r="62" spans="1:38" ht="16">
      <c r="A62" s="29" t="s">
        <v>59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7">
        <v>75.0</v>
      </c>
      <c r="AL62" s="37">
        <f>B62+C62+D62+E62+F62+G62+H62+I62+J62+K62+L62+M62+N62+O62+P62+Q62+R62+S62+T62+U62+V62+W62+X62+Y62+Z62+AA62+AB62+AC62+AD62+AE62+AF62+AG62+AH62+AI62+AJ62+AK62</f>
        <v>75.0</v>
      </c>
    </row>
    <row r="63" spans="1:38" ht="16">
      <c r="A63" s="29" t="s">
        <v>60</v>
      </c>
      <c r="B63" s="36"/>
      <c r="C63" s="36"/>
      <c r="D63" s="37">
        <v>0</v>
      </c>
      <c r="E63" s="37">
        <v>0</v>
      </c>
      <c r="F63" s="36"/>
      <c r="G63" s="36"/>
      <c r="H63" s="37">
        <v>145.0</v>
      </c>
      <c r="I63" s="37">
        <v>525.0</v>
      </c>
      <c r="J63" s="36"/>
      <c r="K63" s="36"/>
      <c r="L63" s="37">
        <v>0</v>
      </c>
      <c r="M63" s="36"/>
      <c r="N63" s="37">
        <v>0</v>
      </c>
      <c r="O63" s="37">
        <v>105.0</v>
      </c>
      <c r="P63" s="36"/>
      <c r="Q63" s="37">
        <v>0</v>
      </c>
      <c r="R63" s="36"/>
      <c r="S63" s="36"/>
      <c r="T63" s="37">
        <v>0</v>
      </c>
      <c r="U63" s="37">
        <v>215.0</v>
      </c>
      <c r="V63" s="36"/>
      <c r="W63" s="36"/>
      <c r="X63" s="36"/>
      <c r="Y63" s="36"/>
      <c r="Z63" s="37">
        <v>870.0</v>
      </c>
      <c r="AA63" s="37">
        <v>0</v>
      </c>
      <c r="AB63" s="37">
        <v>95.0</v>
      </c>
      <c r="AC63" s="37">
        <v>10.0</v>
      </c>
      <c r="AD63" s="37">
        <v>375.0</v>
      </c>
      <c r="AE63" s="36"/>
      <c r="AF63" s="37">
        <v>350.0</v>
      </c>
      <c r="AG63" s="36"/>
      <c r="AH63" s="36"/>
      <c r="AI63" s="37">
        <v>60.0</v>
      </c>
      <c r="AJ63" s="37">
        <v>35.0</v>
      </c>
      <c r="AK63" s="37">
        <v>140.0</v>
      </c>
      <c r="AL63" s="37">
        <f>B63+C63+D63+E63+F63+G63+H63+I63+J63+K63+L63+M63+N63+O63+P63+Q63+R63+S63+T63+U63+V63+W63+X63+Y63+Z63+AA63+AB63+AC63+AD63+AE63+AF63+AG63+AH63+AI63+AJ63+AK63</f>
        <v>2925.0</v>
      </c>
    </row>
    <row r="64" spans="1:38" ht="16">
      <c r="A64" s="29" t="s">
        <v>61</v>
      </c>
      <c r="B64" s="36"/>
      <c r="C64" s="36"/>
      <c r="D64" s="36"/>
      <c r="E64" s="36"/>
      <c r="F64" s="36"/>
      <c r="G64" s="37">
        <v>0</v>
      </c>
      <c r="H64" s="37">
        <v>0</v>
      </c>
      <c r="I64" s="36"/>
      <c r="J64" s="36"/>
      <c r="K64" s="37">
        <v>0</v>
      </c>
      <c r="L64" s="37">
        <v>50.0</v>
      </c>
      <c r="M64" s="37">
        <v>75.0</v>
      </c>
      <c r="N64" s="36"/>
      <c r="O64" s="37">
        <v>0</v>
      </c>
      <c r="P64" s="36"/>
      <c r="Q64" s="36"/>
      <c r="R64" s="36"/>
      <c r="S64" s="36"/>
      <c r="T64" s="37">
        <v>0</v>
      </c>
      <c r="U64" s="37">
        <v>180.0</v>
      </c>
      <c r="V64" s="36"/>
      <c r="W64" s="37">
        <v>0</v>
      </c>
      <c r="X64" s="37">
        <v>445.0</v>
      </c>
      <c r="Y64" s="36"/>
      <c r="Z64" s="36"/>
      <c r="AA64" s="36"/>
      <c r="AB64" s="37">
        <v>300.0</v>
      </c>
      <c r="AC64" s="37">
        <v>150.0</v>
      </c>
      <c r="AD64" s="36"/>
      <c r="AE64" s="36"/>
      <c r="AF64" s="37">
        <v>975.0</v>
      </c>
      <c r="AG64" s="37">
        <v>1110.0</v>
      </c>
      <c r="AH64" s="36"/>
      <c r="AI64" s="37">
        <v>0</v>
      </c>
      <c r="AJ64" s="36"/>
      <c r="AK64" s="36"/>
      <c r="AL64" s="37">
        <f>B64+C64+D64+E64+F64+G64+H64+I64+J64+K64+L64+M64+N64+O64+P64+Q64+R64+S64+T64+U64+V64+W64+X64+Y64+Z64+AA64+AB64+AC64+AD64+AE64+AF64+AG64+AH64+AI64+AJ64+AK64</f>
        <v>3285.0</v>
      </c>
    </row>
    <row r="65" spans="1:38" ht="16">
      <c r="A65" s="29" t="s">
        <v>62</v>
      </c>
      <c r="B65" s="36"/>
      <c r="C65" s="36"/>
      <c r="D65" s="37">
        <v>0</v>
      </c>
      <c r="E65" s="36"/>
      <c r="F65" s="37">
        <v>20.0</v>
      </c>
      <c r="G65" s="37">
        <v>0</v>
      </c>
      <c r="H65" s="36"/>
      <c r="I65" s="36"/>
      <c r="J65" s="37">
        <v>600.0</v>
      </c>
      <c r="K65" s="36"/>
      <c r="L65" s="36"/>
      <c r="M65" s="36"/>
      <c r="N65" s="37">
        <v>790.0</v>
      </c>
      <c r="O65" s="36"/>
      <c r="P65" s="37">
        <v>245.0</v>
      </c>
      <c r="Q65" s="36"/>
      <c r="R65" s="37">
        <v>0</v>
      </c>
      <c r="S65" s="36"/>
      <c r="T65" s="36"/>
      <c r="U65" s="36"/>
      <c r="V65" s="36"/>
      <c r="W65" s="37">
        <v>245.0</v>
      </c>
      <c r="X65" s="37">
        <v>315.0</v>
      </c>
      <c r="Y65" s="37">
        <v>0</v>
      </c>
      <c r="Z65" s="37">
        <v>525.0</v>
      </c>
      <c r="AA65" s="36"/>
      <c r="AB65" s="37">
        <v>315.0</v>
      </c>
      <c r="AC65" s="37">
        <v>10.0</v>
      </c>
      <c r="AD65" s="37">
        <v>590.0</v>
      </c>
      <c r="AE65" s="36"/>
      <c r="AF65" s="37">
        <v>40.0</v>
      </c>
      <c r="AG65" s="37">
        <v>655.0</v>
      </c>
      <c r="AH65" s="36"/>
      <c r="AI65" s="36"/>
      <c r="AJ65" s="37">
        <v>0</v>
      </c>
      <c r="AK65" s="37">
        <v>245.0</v>
      </c>
      <c r="AL65" s="37">
        <f>B65+C65+D65+E65+F65+G65+H65+I65+J65+K65+L65+M65+N65+O65+P65+Q65+R65+S65+T65+U65+V65+W65+X65+Y65+Z65+AA65+AB65+AC65+AD65+AE65+AF65+AG65+AH65+AI65+AJ65+AK65</f>
        <v>4595.0</v>
      </c>
    </row>
    <row r="66" spans="1:38" ht="16">
      <c r="A66" s="29" t="s">
        <v>63</v>
      </c>
      <c r="B66" s="36"/>
      <c r="C66" s="37">
        <v>300.0</v>
      </c>
      <c r="D66" s="37">
        <v>0</v>
      </c>
      <c r="E66" s="37">
        <v>0</v>
      </c>
      <c r="F66" s="36"/>
      <c r="G66" s="36"/>
      <c r="H66" s="37">
        <v>0</v>
      </c>
      <c r="I66" s="37">
        <v>35.0</v>
      </c>
      <c r="J66" s="37">
        <v>0</v>
      </c>
      <c r="K66" s="37">
        <v>450.0</v>
      </c>
      <c r="L66" s="36"/>
      <c r="M66" s="36"/>
      <c r="N66" s="37">
        <v>50.0</v>
      </c>
      <c r="O66" s="36"/>
      <c r="P66" s="37">
        <v>0</v>
      </c>
      <c r="Q66" s="36"/>
      <c r="R66" s="37">
        <v>200.0</v>
      </c>
      <c r="S66" s="36"/>
      <c r="T66" s="37">
        <v>0</v>
      </c>
      <c r="U66" s="36"/>
      <c r="V66" s="37">
        <v>225.0</v>
      </c>
      <c r="W66" s="37">
        <v>105.0</v>
      </c>
      <c r="X66" s="36"/>
      <c r="Y66" s="37">
        <v>0</v>
      </c>
      <c r="Z66" s="36"/>
      <c r="AA66" s="36"/>
      <c r="AB66" s="36"/>
      <c r="AC66" s="36"/>
      <c r="AD66" s="37">
        <v>0</v>
      </c>
      <c r="AE66" s="37">
        <v>105.0</v>
      </c>
      <c r="AF66" s="36"/>
      <c r="AG66" s="37">
        <v>0</v>
      </c>
      <c r="AH66" s="37">
        <v>0</v>
      </c>
      <c r="AI66" s="36"/>
      <c r="AJ66" s="36"/>
      <c r="AK66" s="36"/>
      <c r="AL66" s="37">
        <f>B66+C66+D66+E66+F66+G66+H66+I66+J66+K66+L66+M66+N66+O66+P66+Q66+R66+S66+T66+U66+V66+W66+X66+Y66+Z66+AA66+AB66+AC66+AD66+AE66+AF66+AG66+AH66+AI66+AJ66+AK66</f>
        <v>1470.0</v>
      </c>
    </row>
    <row r="67" spans="1:38" ht="16">
      <c r="A67" s="29" t="s">
        <v>64</v>
      </c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</row>
    <row r="68" spans="1:38" ht="16" outlineLevel="1">
      <c r="A68" s="30" t="s">
        <v>65</v>
      </c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7">
        <v>274.5</v>
      </c>
      <c r="AL68" s="37">
        <f>B68+C68+D68+E68+F68+G68+H68+I68+J68+K68+L68+M68+N68+O68+P68+Q68+R68+S68+T68+U68+V68+W68+X68+Y68+Z68+AA68+AB68+AC68+AD68+AE68+AF68+AG68+AH68+AI68+AJ68+AK68</f>
        <v>274.5</v>
      </c>
    </row>
    <row r="69" spans="1:38" ht="16">
      <c r="A69" s="31" t="s">
        <v>66</v>
      </c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>
        <f>AK68</f>
        <v>274.5</v>
      </c>
      <c r="AL69" s="39">
        <f>B69+C69+D69+E69+F69+G69+H69+I69+J69+K69+L69+M69+N69+O69+P69+Q69+R69+S69+T69+U69+V69+W69+X69+Y69+Z69+AA69+AB69+AC69+AD69+AE69+AF69+AG69+AH69+AI69+AJ69+AK69</f>
        <v>274.5</v>
      </c>
    </row>
    <row r="70" spans="1:38" ht="16">
      <c r="A70" s="29" t="s">
        <v>67</v>
      </c>
      <c r="B70" s="37">
        <v>0</v>
      </c>
      <c r="C70" s="37">
        <v>600.0</v>
      </c>
      <c r="D70" s="37">
        <v>350.0</v>
      </c>
      <c r="E70" s="36"/>
      <c r="F70" s="36"/>
      <c r="G70" s="36"/>
      <c r="H70" s="36"/>
      <c r="I70" s="37">
        <v>0</v>
      </c>
      <c r="J70" s="36"/>
      <c r="K70" s="37">
        <v>35.0</v>
      </c>
      <c r="L70" s="37">
        <v>0</v>
      </c>
      <c r="M70" s="37">
        <v>50.0</v>
      </c>
      <c r="N70" s="36"/>
      <c r="O70" s="36"/>
      <c r="P70" s="36"/>
      <c r="Q70" s="37">
        <v>350.0</v>
      </c>
      <c r="R70" s="36"/>
      <c r="S70" s="36"/>
      <c r="T70" s="37">
        <v>0</v>
      </c>
      <c r="U70" s="36"/>
      <c r="V70" s="37">
        <v>0</v>
      </c>
      <c r="W70" s="37">
        <v>0</v>
      </c>
      <c r="X70" s="37">
        <v>0</v>
      </c>
      <c r="Y70" s="37">
        <v>10.0</v>
      </c>
      <c r="Z70" s="37">
        <v>300.0</v>
      </c>
      <c r="AA70" s="37">
        <v>0</v>
      </c>
      <c r="AB70" s="36"/>
      <c r="AC70" s="37">
        <v>350.0</v>
      </c>
      <c r="AD70" s="37">
        <v>0</v>
      </c>
      <c r="AE70" s="36"/>
      <c r="AF70" s="36"/>
      <c r="AG70" s="36"/>
      <c r="AH70" s="37">
        <v>30.0</v>
      </c>
      <c r="AI70" s="36"/>
      <c r="AJ70" s="37">
        <v>0</v>
      </c>
      <c r="AK70" s="36"/>
      <c r="AL70" s="37">
        <f>B70+C70+D70+E70+F70+G70+H70+I70+J70+K70+L70+M70+N70+O70+P70+Q70+R70+S70+T70+U70+V70+W70+X70+Y70+Z70+AA70+AB70+AC70+AD70+AE70+AF70+AG70+AH70+AI70+AJ70+AK70</f>
        <v>2075.0</v>
      </c>
    </row>
    <row r="71" spans="1:38" ht="16">
      <c r="A71" s="29" t="s">
        <v>68</v>
      </c>
      <c r="B71" s="37">
        <v>-35.0</v>
      </c>
      <c r="C71" s="37">
        <v>35.0</v>
      </c>
      <c r="D71" s="36"/>
      <c r="E71" s="36"/>
      <c r="F71" s="37">
        <v>0</v>
      </c>
      <c r="G71" s="36"/>
      <c r="H71" s="36"/>
      <c r="I71" s="37">
        <v>35.0</v>
      </c>
      <c r="J71" s="36"/>
      <c r="K71" s="36"/>
      <c r="L71" s="37">
        <v>0</v>
      </c>
      <c r="M71" s="37">
        <v>0</v>
      </c>
      <c r="N71" s="37">
        <v>35.0</v>
      </c>
      <c r="O71" s="37">
        <v>0</v>
      </c>
      <c r="P71" s="36"/>
      <c r="Q71" s="36"/>
      <c r="R71" s="36"/>
      <c r="S71" s="37">
        <v>350.0</v>
      </c>
      <c r="T71" s="36"/>
      <c r="U71" s="36"/>
      <c r="V71" s="37">
        <v>35.0</v>
      </c>
      <c r="W71" s="36"/>
      <c r="X71" s="36"/>
      <c r="Y71" s="37">
        <v>100.0</v>
      </c>
      <c r="Z71" s="36"/>
      <c r="AA71" s="36"/>
      <c r="AB71" s="37">
        <v>-35.0</v>
      </c>
      <c r="AC71" s="37">
        <v>890.0</v>
      </c>
      <c r="AD71" s="37">
        <v>280.0</v>
      </c>
      <c r="AE71" s="36"/>
      <c r="AF71" s="37">
        <v>150.0</v>
      </c>
      <c r="AG71" s="36"/>
      <c r="AH71" s="36"/>
      <c r="AI71" s="37">
        <v>0</v>
      </c>
      <c r="AJ71" s="37">
        <v>0</v>
      </c>
      <c r="AK71" s="37">
        <v>0</v>
      </c>
      <c r="AL71" s="37">
        <f>B71+C71+D71+E71+F71+G71+H71+I71+J71+K71+L71+M71+N71+O71+P71+Q71+R71+S71+T71+U71+V71+W71+X71+Y71+Z71+AA71+AB71+AC71+AD71+AE71+AF71+AG71+AH71+AI71+AJ71+AK71</f>
        <v>1840.0</v>
      </c>
    </row>
    <row r="72" spans="1:38" ht="16">
      <c r="A72" s="29" t="s">
        <v>69</v>
      </c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7">
        <v>240.0</v>
      </c>
      <c r="AL72" s="37">
        <f>B72+C72+D72+E72+F72+G72+H72+I72+J72+K72+L72+M72+N72+O72+P72+Q72+R72+S72+T72+U72+V72+W72+X72+Y72+Z72+AA72+AB72+AC72+AD72+AE72+AF72+AG72+AH72+AI72+AJ72+AK72</f>
        <v>240.0</v>
      </c>
    </row>
    <row r="73" spans="1:38" ht="16">
      <c r="A73" s="29" t="s">
        <v>70</v>
      </c>
      <c r="B73" s="37">
        <v>0</v>
      </c>
      <c r="C73" s="36"/>
      <c r="D73" s="36"/>
      <c r="E73" s="36"/>
      <c r="F73" s="37">
        <v>0</v>
      </c>
      <c r="G73" s="36"/>
      <c r="H73" s="36"/>
      <c r="I73" s="37">
        <v>100.0</v>
      </c>
      <c r="J73" s="36"/>
      <c r="K73" s="37">
        <v>75.0</v>
      </c>
      <c r="L73" s="36"/>
      <c r="M73" s="36"/>
      <c r="N73" s="36"/>
      <c r="O73" s="36"/>
      <c r="P73" s="36"/>
      <c r="Q73" s="37">
        <v>1365.0</v>
      </c>
      <c r="R73" s="36"/>
      <c r="S73" s="36"/>
      <c r="T73" s="36"/>
      <c r="U73" s="37">
        <v>0</v>
      </c>
      <c r="V73" s="36"/>
      <c r="W73" s="37">
        <v>0</v>
      </c>
      <c r="X73" s="37">
        <v>0</v>
      </c>
      <c r="Y73" s="36"/>
      <c r="Z73" s="36"/>
      <c r="AA73" s="36"/>
      <c r="AB73" s="37">
        <v>0</v>
      </c>
      <c r="AC73" s="37">
        <v>35.0</v>
      </c>
      <c r="AD73" s="37">
        <v>0</v>
      </c>
      <c r="AE73" s="37">
        <v>75.0</v>
      </c>
      <c r="AF73" s="36"/>
      <c r="AG73" s="37">
        <v>35.0</v>
      </c>
      <c r="AH73" s="37">
        <v>0</v>
      </c>
      <c r="AI73" s="37">
        <v>420.0</v>
      </c>
      <c r="AJ73" s="36"/>
      <c r="AK73" s="36"/>
      <c r="AL73" s="37">
        <f>B73+C73+D73+E73+F73+G73+H73+I73+J73+K73+L73+M73+N73+O73+P73+Q73+R73+S73+T73+U73+V73+W73+X73+Y73+Z73+AA73+AB73+AC73+AD73+AE73+AF73+AG73+AH73+AI73+AJ73+AK73</f>
        <v>2105.0</v>
      </c>
    </row>
    <row r="74" spans="1:38" ht="16">
      <c r="A74" s="29" t="s">
        <v>71</v>
      </c>
      <c r="B74" s="37">
        <v>960.0</v>
      </c>
      <c r="C74" s="36"/>
      <c r="D74" s="37">
        <v>0</v>
      </c>
      <c r="E74" s="37">
        <v>0</v>
      </c>
      <c r="F74" s="37">
        <v>10.0</v>
      </c>
      <c r="G74" s="36"/>
      <c r="H74" s="36"/>
      <c r="I74" s="36"/>
      <c r="J74" s="36"/>
      <c r="K74" s="36"/>
      <c r="L74" s="37">
        <v>370.0</v>
      </c>
      <c r="M74" s="37">
        <v>0</v>
      </c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7">
        <v>105.0</v>
      </c>
      <c r="AA74" s="37">
        <v>0</v>
      </c>
      <c r="AB74" s="37">
        <v>0</v>
      </c>
      <c r="AC74" s="36"/>
      <c r="AD74" s="36"/>
      <c r="AE74" s="36"/>
      <c r="AF74" s="37">
        <v>110.0</v>
      </c>
      <c r="AG74" s="37">
        <v>140.0</v>
      </c>
      <c r="AH74" s="36"/>
      <c r="AI74" s="37">
        <v>700.0</v>
      </c>
      <c r="AJ74" s="37">
        <v>220.0</v>
      </c>
      <c r="AK74" s="37">
        <v>75.0</v>
      </c>
      <c r="AL74" s="37">
        <f>B74+C74+D74+E74+F74+G74+H74+I74+J74+K74+L74+M74+N74+O74+P74+Q74+R74+S74+T74+U74+V74+W74+X74+Y74+Z74+AA74+AB74+AC74+AD74+AE74+AF74+AG74+AH74+AI74+AJ74+AK74</f>
        <v>2690.0</v>
      </c>
    </row>
    <row r="75" spans="1:38" ht="16">
      <c r="A75" s="29" t="s">
        <v>72</v>
      </c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7">
        <v>562.55</v>
      </c>
      <c r="AL75" s="37">
        <f>B75+C75+D75+E75+F75+G75+H75+I75+J75+K75+L75+M75+N75+O75+P75+Q75+R75+S75+T75+U75+V75+W75+X75+Y75+Z75+AA75+AB75+AC75+AD75+AE75+AF75+AG75+AH75+AI75+AJ75+AK75</f>
        <v>562.55</v>
      </c>
    </row>
    <row r="76" spans="1:38" ht="16">
      <c r="A76" s="29" t="s">
        <v>73</v>
      </c>
      <c r="B76" s="36"/>
      <c r="C76" s="37">
        <v>175.0</v>
      </c>
      <c r="D76" s="37">
        <v>0</v>
      </c>
      <c r="E76" s="37">
        <v>35.0</v>
      </c>
      <c r="F76" s="36"/>
      <c r="G76" s="37">
        <v>50.0</v>
      </c>
      <c r="H76" s="36"/>
      <c r="I76" s="36"/>
      <c r="J76" s="37">
        <v>0</v>
      </c>
      <c r="K76" s="37">
        <v>0</v>
      </c>
      <c r="L76" s="36"/>
      <c r="M76" s="36"/>
      <c r="N76" s="36"/>
      <c r="O76" s="37">
        <v>40.0</v>
      </c>
      <c r="P76" s="36"/>
      <c r="Q76" s="36"/>
      <c r="R76" s="37">
        <v>210.0</v>
      </c>
      <c r="S76" s="37">
        <v>0</v>
      </c>
      <c r="T76" s="36"/>
      <c r="U76" s="37">
        <v>315.0</v>
      </c>
      <c r="V76" s="37">
        <v>280.0</v>
      </c>
      <c r="W76" s="37">
        <v>0</v>
      </c>
      <c r="X76" s="37">
        <v>0</v>
      </c>
      <c r="Y76" s="37">
        <v>0</v>
      </c>
      <c r="Z76" s="36"/>
      <c r="AA76" s="36"/>
      <c r="AB76" s="37">
        <v>0</v>
      </c>
      <c r="AC76" s="36"/>
      <c r="AD76" s="37">
        <v>590.0</v>
      </c>
      <c r="AE76" s="37">
        <v>35.0</v>
      </c>
      <c r="AF76" s="37">
        <v>0</v>
      </c>
      <c r="AG76" s="36"/>
      <c r="AH76" s="37">
        <v>0</v>
      </c>
      <c r="AI76" s="37">
        <v>35.0</v>
      </c>
      <c r="AJ76" s="37">
        <v>0</v>
      </c>
      <c r="AK76" s="37">
        <v>0</v>
      </c>
      <c r="AL76" s="37">
        <f>B76+C76+D76+E76+F76+G76+H76+I76+J76+K76+L76+M76+N76+O76+P76+Q76+R76+S76+T76+U76+V76+W76+X76+Y76+Z76+AA76+AB76+AC76+AD76+AE76+AF76+AG76+AH76+AI76+AJ76+AK76</f>
        <v>1765.0</v>
      </c>
    </row>
    <row r="77" spans="1:38" ht="16">
      <c r="A77" s="29" t="s">
        <v>74</v>
      </c>
      <c r="B77" s="36"/>
      <c r="C77" s="36"/>
      <c r="D77" s="37">
        <v>0</v>
      </c>
      <c r="E77" s="37">
        <v>0</v>
      </c>
      <c r="F77" s="37">
        <v>0</v>
      </c>
      <c r="G77" s="36"/>
      <c r="H77" s="37">
        <v>0</v>
      </c>
      <c r="I77" s="37">
        <v>940.0</v>
      </c>
      <c r="J77" s="37">
        <v>0</v>
      </c>
      <c r="K77" s="37">
        <v>0</v>
      </c>
      <c r="L77" s="37">
        <v>105.0</v>
      </c>
      <c r="M77" s="37">
        <v>0</v>
      </c>
      <c r="N77" s="37">
        <v>0</v>
      </c>
      <c r="O77" s="36"/>
      <c r="P77" s="37">
        <v>0</v>
      </c>
      <c r="Q77" s="37">
        <v>0</v>
      </c>
      <c r="R77" s="36"/>
      <c r="S77" s="37">
        <v>35.0</v>
      </c>
      <c r="T77" s="36"/>
      <c r="U77" s="37">
        <v>160.0</v>
      </c>
      <c r="V77" s="37">
        <v>245.0</v>
      </c>
      <c r="W77" s="37">
        <v>400.0</v>
      </c>
      <c r="X77" s="37">
        <v>75.0</v>
      </c>
      <c r="Y77" s="37">
        <v>200.0</v>
      </c>
      <c r="Z77" s="36"/>
      <c r="AA77" s="36"/>
      <c r="AB77" s="37">
        <v>320.0</v>
      </c>
      <c r="AC77" s="37">
        <v>245.0</v>
      </c>
      <c r="AD77" s="36"/>
      <c r="AE77" s="36"/>
      <c r="AF77" s="36"/>
      <c r="AG77" s="36"/>
      <c r="AH77" s="37">
        <v>105.0</v>
      </c>
      <c r="AI77" s="36"/>
      <c r="AJ77" s="36"/>
      <c r="AK77" s="37">
        <v>35.0</v>
      </c>
      <c r="AL77" s="37">
        <f>B77+C77+D77+E77+F77+G77+H77+I77+J77+K77+L77+M77+N77+O77+P77+Q77+R77+S77+T77+U77+V77+W77+X77+Y77+Z77+AA77+AB77+AC77+AD77+AE77+AF77+AG77+AH77+AI77+AJ77+AK77</f>
        <v>2865.0</v>
      </c>
    </row>
    <row r="78" spans="1:38" ht="16">
      <c r="A78" s="29" t="s">
        <v>75</v>
      </c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7">
        <v>375.0</v>
      </c>
      <c r="AL78" s="37">
        <f>B78+C78+D78+E78+F78+G78+H78+I78+J78+K78+L78+M78+N78+O78+P78+Q78+R78+S78+T78+U78+V78+W78+X78+Y78+Z78+AA78+AB78+AC78+AD78+AE78+AF78+AG78+AH78+AI78+AJ78+AK78</f>
        <v>375.0</v>
      </c>
    </row>
    <row r="79" spans="1:38" ht="16">
      <c r="A79" s="29" t="s">
        <v>76</v>
      </c>
      <c r="B79" s="37">
        <v>35.0</v>
      </c>
      <c r="C79" s="36"/>
      <c r="D79" s="36"/>
      <c r="E79" s="37">
        <v>-10.0</v>
      </c>
      <c r="F79" s="36"/>
      <c r="G79" s="36"/>
      <c r="H79" s="37">
        <v>300.0</v>
      </c>
      <c r="I79" s="36"/>
      <c r="J79" s="37">
        <v>0</v>
      </c>
      <c r="K79" s="37">
        <v>105.0</v>
      </c>
      <c r="L79" s="36"/>
      <c r="M79" s="37">
        <v>140.0</v>
      </c>
      <c r="N79" s="37">
        <v>35.0</v>
      </c>
      <c r="O79" s="37">
        <v>0</v>
      </c>
      <c r="P79" s="36"/>
      <c r="Q79" s="37">
        <v>0</v>
      </c>
      <c r="R79" s="36"/>
      <c r="S79" s="37">
        <v>0</v>
      </c>
      <c r="T79" s="37">
        <v>0</v>
      </c>
      <c r="U79" s="37">
        <v>0</v>
      </c>
      <c r="V79" s="36"/>
      <c r="W79" s="37">
        <v>0</v>
      </c>
      <c r="X79" s="36"/>
      <c r="Y79" s="37">
        <v>35.0</v>
      </c>
      <c r="Z79" s="36"/>
      <c r="AA79" s="36"/>
      <c r="AB79" s="36"/>
      <c r="AC79" s="37">
        <v>0</v>
      </c>
      <c r="AD79" s="36"/>
      <c r="AE79" s="37">
        <v>0</v>
      </c>
      <c r="AF79" s="37">
        <v>0</v>
      </c>
      <c r="AG79" s="36"/>
      <c r="AH79" s="36"/>
      <c r="AI79" s="36"/>
      <c r="AJ79" s="37">
        <v>0</v>
      </c>
      <c r="AK79" s="36"/>
      <c r="AL79" s="37">
        <f>B79+C79+D79+E79+F79+G79+H79+I79+J79+K79+L79+M79+N79+O79+P79+Q79+R79+S79+T79+U79+V79+W79+X79+Y79+Z79+AA79+AB79+AC79+AD79+AE79+AF79+AG79+AH79+AI79+AJ79+AK79</f>
        <v>640.0</v>
      </c>
    </row>
    <row r="80" spans="1:38" ht="16">
      <c r="A80" s="29" t="s">
        <v>77</v>
      </c>
      <c r="B80" s="37">
        <v>1480.0</v>
      </c>
      <c r="C80" s="37">
        <v>0</v>
      </c>
      <c r="D80" s="37">
        <v>-35.0</v>
      </c>
      <c r="E80" s="37">
        <v>0</v>
      </c>
      <c r="F80" s="37">
        <v>0</v>
      </c>
      <c r="G80" s="36"/>
      <c r="H80" s="37">
        <v>0</v>
      </c>
      <c r="I80" s="36"/>
      <c r="J80" s="37">
        <v>0</v>
      </c>
      <c r="K80" s="37">
        <v>100.0</v>
      </c>
      <c r="L80" s="37">
        <v>105.0</v>
      </c>
      <c r="M80" s="36"/>
      <c r="N80" s="36"/>
      <c r="O80" s="37">
        <v>140.0</v>
      </c>
      <c r="P80" s="36"/>
      <c r="Q80" s="36"/>
      <c r="R80" s="37">
        <v>235.0</v>
      </c>
      <c r="S80" s="37">
        <v>20.0</v>
      </c>
      <c r="T80" s="36"/>
      <c r="U80" s="36"/>
      <c r="V80" s="36"/>
      <c r="W80" s="37">
        <v>0</v>
      </c>
      <c r="X80" s="36"/>
      <c r="Y80" s="37">
        <v>0</v>
      </c>
      <c r="Z80" s="37">
        <v>-10.0</v>
      </c>
      <c r="AA80" s="36"/>
      <c r="AB80" s="37">
        <v>0</v>
      </c>
      <c r="AC80" s="37">
        <v>100.0</v>
      </c>
      <c r="AD80" s="37">
        <v>0</v>
      </c>
      <c r="AE80" s="37">
        <v>0</v>
      </c>
      <c r="AF80" s="37">
        <v>-50.0</v>
      </c>
      <c r="AG80" s="36"/>
      <c r="AH80" s="36"/>
      <c r="AI80" s="37">
        <v>0</v>
      </c>
      <c r="AJ80" s="36"/>
      <c r="AK80" s="37">
        <v>70.0</v>
      </c>
      <c r="AL80" s="37">
        <f>B80+C80+D80+E80+F80+G80+H80+I80+J80+K80+L80+M80+N80+O80+P80+Q80+R80+S80+T80+U80+V80+W80+X80+Y80+Z80+AA80+AB80+AC80+AD80+AE80+AF80+AG80+AH80+AI80+AJ80+AK80</f>
        <v>2155.0</v>
      </c>
    </row>
    <row r="81" spans="1:38" ht="16">
      <c r="A81" s="32" t="s">
        <v>78</v>
      </c>
      <c r="B81" s="38">
        <v>3650.0</v>
      </c>
      <c r="C81" s="38">
        <v>3065.0</v>
      </c>
      <c r="D81" s="38">
        <v>2905.0</v>
      </c>
      <c r="E81" s="38">
        <v>1480.0</v>
      </c>
      <c r="F81" s="38">
        <v>2130.0</v>
      </c>
      <c r="G81" s="38">
        <v>2420.0</v>
      </c>
      <c r="H81" s="38">
        <v>1910.0</v>
      </c>
      <c r="I81" s="38">
        <v>6030.0</v>
      </c>
      <c r="J81" s="38">
        <v>4045.0</v>
      </c>
      <c r="K81" s="38">
        <v>2940.0</v>
      </c>
      <c r="L81" s="38">
        <v>2495.0</v>
      </c>
      <c r="M81" s="38">
        <v>4035.0</v>
      </c>
      <c r="N81" s="38">
        <v>3350.0</v>
      </c>
      <c r="O81" s="38">
        <v>2970.0</v>
      </c>
      <c r="P81" s="38">
        <v>3025.0</v>
      </c>
      <c r="Q81" s="38">
        <v>2335.0</v>
      </c>
      <c r="R81" s="38">
        <v>2125.0</v>
      </c>
      <c r="S81" s="38">
        <v>3485.0</v>
      </c>
      <c r="T81" s="38">
        <v>1880.0</v>
      </c>
      <c r="U81" s="38">
        <v>2570.0</v>
      </c>
      <c r="V81" s="38">
        <v>4615.0</v>
      </c>
      <c r="W81" s="38">
        <v>3995.0</v>
      </c>
      <c r="X81" s="38">
        <v>4320.0</v>
      </c>
      <c r="Y81" s="38">
        <v>2745.0</v>
      </c>
      <c r="Z81" s="38">
        <v>3615.0</v>
      </c>
      <c r="AA81" s="38">
        <v>5955.0</v>
      </c>
      <c r="AB81" s="38">
        <v>3430.0</v>
      </c>
      <c r="AC81" s="38">
        <v>5875.0</v>
      </c>
      <c r="AD81" s="38">
        <v>4560.0</v>
      </c>
      <c r="AE81" s="38">
        <v>2900.0</v>
      </c>
      <c r="AF81" s="38">
        <v>2730.0</v>
      </c>
      <c r="AG81" s="38">
        <v>3855.0</v>
      </c>
      <c r="AH81" s="38">
        <v>4606.25</v>
      </c>
      <c r="AI81" s="38">
        <v>4021.0</v>
      </c>
      <c r="AJ81" s="38">
        <v>4612.0</v>
      </c>
      <c r="AK81" s="38">
        <v>11107.05</v>
      </c>
      <c r="AL81" s="39">
        <f>B81+C81+D81+E81+F81+G81+H81+I81+J81+K81+L81+M81+N81+O81+P81+Q81+R81+S81+T81+U81+V81+W81+X81+Y81+Z81+AA81+AB81+AC81+AD81+AE81+AF81+AG81+AH81+AI81+AJ81+AK81</f>
        <v>131786.3</v>
      </c>
    </row>
    <row r="85" spans="1:1" ht="16">
      <c r="A85" s="40" t="s">
        <v>117</v>
      </c>
    </row>
  </sheetData>
  <mergeCells count="4">
    <mergeCell ref="A1:AL1"/>
    <mergeCell ref="A2:AL2"/>
    <mergeCell ref="A3:AL3"/>
    <mergeCell ref="A85:AL8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