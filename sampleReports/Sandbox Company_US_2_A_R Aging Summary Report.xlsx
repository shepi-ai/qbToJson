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</calcChain>
</file>

<file path=xl/sharedStrings.xml><?xml version="1.0" encoding="utf-8"?>
<sst xmlns="http://schemas.openxmlformats.org/spreadsheetml/2006/main" count="83" uniqueCount="83">
  <si>
    <t>A/R Aging Summary Report</t>
  </si>
  <si>
    <t>Sandbox Company_US_2</t>
  </si>
  <si>
    <t>As of March 4, 2026</t>
  </si>
  <si>
    <t>Amy's Bird Sanctuary</t>
  </si>
  <si>
    <t>Auer, Keeling and Steuber</t>
  </si>
  <si>
    <t>Bahringer Inc</t>
  </si>
  <si>
    <t>Baumbach-Botsford</t>
  </si>
  <si>
    <t>Becker-Adams</t>
  </si>
  <si>
    <t>Bergstrom LLC</t>
  </si>
  <si>
    <t>Bill's Windsurf Shop</t>
  </si>
  <si>
    <t>Crooks, Pollich and Mertz</t>
  </si>
  <si>
    <t>Ebert-Krajcik</t>
  </si>
  <si>
    <t>Fadel LLC</t>
  </si>
  <si>
    <t>Fadel-Oberbrunner</t>
  </si>
  <si>
    <t>Freeman Sporting Goods</t>
  </si>
  <si>
    <t>0969 Ocean View Road</t>
  </si>
  <si>
    <t>55 Twin Lane</t>
  </si>
  <si>
    <t>Total for Freeman Sporting Goods</t>
  </si>
  <si>
    <t>Geeta Kalapatapu</t>
  </si>
  <si>
    <t>Glover, Bode and Raynor</t>
  </si>
  <si>
    <t>Glover-Pfannerstill</t>
  </si>
  <si>
    <t>Grant and Sons</t>
  </si>
  <si>
    <t>Greenholt-Cassin</t>
  </si>
  <si>
    <t>Hammes LLC</t>
  </si>
  <si>
    <t>Hand LLC</t>
  </si>
  <si>
    <t>Huel-Botsford</t>
  </si>
  <si>
    <t>Huels Group</t>
  </si>
  <si>
    <t>Jeff's Jalopies</t>
  </si>
  <si>
    <t>John Melton</t>
  </si>
  <si>
    <t>Johnston-Berge</t>
  </si>
  <si>
    <t>Kiehn, Franecki and Nicolas</t>
  </si>
  <si>
    <t>Kookies by Kathy</t>
  </si>
  <si>
    <t>Krajcik Inc</t>
  </si>
  <si>
    <t>Kub and Sons</t>
  </si>
  <si>
    <t>Langworth, Nolan and Harris</t>
  </si>
  <si>
    <t>Lehner, Hane and Borer</t>
  </si>
  <si>
    <t>Leuschke-Ernser</t>
  </si>
  <si>
    <t>Lind-Willms</t>
  </si>
  <si>
    <t>Lindgren, Wiegand and White</t>
  </si>
  <si>
    <t>Lynch, Ziemann and Wehner</t>
  </si>
  <si>
    <t>Mark Cho</t>
  </si>
  <si>
    <t>Mayert-Lehner</t>
  </si>
  <si>
    <t>Mohr, Haag and Labadie</t>
  </si>
  <si>
    <t>Mohr-Koch</t>
  </si>
  <si>
    <t>Morar-Ernser</t>
  </si>
  <si>
    <t>Nienow-Mitchell</t>
  </si>
  <si>
    <t>Ortiz-Rogahn</t>
  </si>
  <si>
    <t>Paulsen Medical Supplies</t>
  </si>
  <si>
    <t>Predovic, Kohler and Boyer</t>
  </si>
  <si>
    <t>Prohaska LLC</t>
  </si>
  <si>
    <t>Red Rock Diner</t>
  </si>
  <si>
    <t>Rice-Block</t>
  </si>
  <si>
    <t>Romaguera and Sons</t>
  </si>
  <si>
    <t>Romaguera, Heller and Mertz</t>
  </si>
  <si>
    <t>Rondonuwu Fruit and Vegi</t>
  </si>
  <si>
    <t>Runte-Breitenberg</t>
  </si>
  <si>
    <t>Sauer Group</t>
  </si>
  <si>
    <t>Schoen-O'Reilly</t>
  </si>
  <si>
    <t>Shanahan LLC</t>
  </si>
  <si>
    <t>Shara Barnett</t>
  </si>
  <si>
    <t>Barnett Design</t>
  </si>
  <si>
    <t>Total for Shara Barnett</t>
  </si>
  <si>
    <t>Skiles Inc</t>
  </si>
  <si>
    <t>Sonnenschein Family Store</t>
  </si>
  <si>
    <t>Stokes, Murray and Wolff</t>
  </si>
  <si>
    <t>Sushi by Katsuyuki</t>
  </si>
  <si>
    <t>Thiel, Keeling and O'Keefe</t>
  </si>
  <si>
    <t>Thompson-Aufderhar</t>
  </si>
  <si>
    <t>Travis Waldron</t>
  </si>
  <si>
    <t>Watsica-Gottlieb</t>
  </si>
  <si>
    <t>Wehner, O'Conner and Bashirian</t>
  </si>
  <si>
    <t>Weiskopf Consulting</t>
  </si>
  <si>
    <t>Welch Inc</t>
  </si>
  <si>
    <t>Willms, Ratke and Little</t>
  </si>
  <si>
    <t>TOTAL</t>
  </si>
  <si>
    <t>Customer</t>
  </si>
  <si>
    <t>CURRENT</t>
  </si>
  <si>
    <t>1 - 30</t>
  </si>
  <si>
    <t>31 - 60</t>
  </si>
  <si>
    <t>61 - 90</t>
  </si>
  <si>
    <t>91 AND OVER</t>
  </si>
  <si>
    <t>Total</t>
  </si>
  <si>
    <t xml:space="preserve"> Wednesday, March 04, 2026 11:04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</si>
</sst>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81"/>
  <sheetViews>
    <sheetView tabSelected="1" workbookViewId="0" topLeftCell="A1"/>
  </sheetViews>
  <sheetFormatPr defaultColWidth="11.255" defaultRowHeight="16" outlineLevelRow="1"/>
  <cols>
    <col min="1" max="1" width="28.125" style="35" customWidth="1"/>
    <col min="2" max="5" width="7.5" style="35" customWidth="1"/>
    <col min="6" max="7" width="17" style="35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7" ht="16">
      <c r="A5" s="37" t="s">
        <v>75</v>
      </c>
      <c r="B5" s="37" t="s">
        <v>76</v>
      </c>
      <c r="C5" s="37" t="s">
        <v>77</v>
      </c>
      <c r="D5" s="37" t="s">
        <v>78</v>
      </c>
      <c r="E5" s="37" t="s">
        <v>79</v>
      </c>
      <c r="F5" s="37" t="s">
        <v>80</v>
      </c>
      <c r="G5" s="37" t="s">
        <v>81</v>
      </c>
    </row>
    <row r="6" spans="1:7" ht="16">
      <c r="A6" s="31" t="s">
        <v>3</v>
      </c>
      <c r="B6" s="38"/>
      <c r="C6" s="38"/>
      <c r="D6" s="41">
        <v>239.0</v>
      </c>
      <c r="E6" s="38"/>
      <c r="F6" s="38"/>
      <c r="G6" s="41">
        <f>B6+C6+D6+E6+F6</f>
        <v>239.0</v>
      </c>
    </row>
    <row r="7" spans="1:7" ht="16">
      <c r="A7" s="31" t="s">
        <v>4</v>
      </c>
      <c r="B7" s="38"/>
      <c r="C7" s="38"/>
      <c r="D7" s="38"/>
      <c r="E7" s="41">
        <v>-255.0</v>
      </c>
      <c r="F7" s="41">
        <v>-4028.76</v>
      </c>
      <c r="G7" s="41">
        <f>B7+C7+D7+E7+F7</f>
        <v>-4283.76</v>
      </c>
    </row>
    <row r="8" spans="1:7" ht="16">
      <c r="A8" s="31" t="s">
        <v>5</v>
      </c>
      <c r="B8" s="38"/>
      <c r="C8" s="38"/>
      <c r="D8" s="38"/>
      <c r="E8" s="38"/>
      <c r="F8" s="41">
        <v>-2321.48</v>
      </c>
      <c r="G8" s="41">
        <f>B8+C8+D8+E8+F8</f>
        <v>-2321.48</v>
      </c>
    </row>
    <row r="9" spans="1:7" ht="16">
      <c r="A9" s="31" t="s">
        <v>6</v>
      </c>
      <c r="B9" s="38"/>
      <c r="C9" s="38"/>
      <c r="D9" s="38"/>
      <c r="E9" s="38"/>
      <c r="F9" s="41">
        <v>-3830.57</v>
      </c>
      <c r="G9" s="41">
        <f>B9+C9+D9+E9+F9</f>
        <v>-3830.57</v>
      </c>
    </row>
    <row r="10" spans="1:7" ht="16">
      <c r="A10" s="31" t="s">
        <v>7</v>
      </c>
      <c r="B10" s="38"/>
      <c r="C10" s="38"/>
      <c r="D10" s="38"/>
      <c r="E10" s="41">
        <v>-625.0</v>
      </c>
      <c r="F10" s="41">
        <v>-2985.75</v>
      </c>
      <c r="G10" s="41">
        <f>B10+C10+D10+E10+F10</f>
        <v>-3610.75</v>
      </c>
    </row>
    <row r="11" spans="1:7" ht="16">
      <c r="A11" s="31" t="s">
        <v>8</v>
      </c>
      <c r="B11" s="38"/>
      <c r="C11" s="38"/>
      <c r="D11" s="38"/>
      <c r="E11" s="38"/>
      <c r="F11" s="41">
        <v>-3805.65</v>
      </c>
      <c r="G11" s="41">
        <f>B11+C11+D11+E11+F11</f>
        <v>-3805.65</v>
      </c>
    </row>
    <row r="12" spans="1:7" ht="16">
      <c r="A12" s="31" t="s">
        <v>9</v>
      </c>
      <c r="B12" s="38"/>
      <c r="C12" s="38"/>
      <c r="D12" s="38"/>
      <c r="E12" s="41">
        <v>85.0</v>
      </c>
      <c r="F12" s="38"/>
      <c r="G12" s="41">
        <f>B12+C12+D12+E12+F12</f>
        <v>85.0</v>
      </c>
    </row>
    <row r="13" spans="1:7" ht="16">
      <c r="A13" s="31" t="s">
        <v>10</v>
      </c>
      <c r="B13" s="38"/>
      <c r="C13" s="38"/>
      <c r="D13" s="38"/>
      <c r="E13" s="38"/>
      <c r="F13" s="41">
        <v>-3895.61</v>
      </c>
      <c r="G13" s="41">
        <f>B13+C13+D13+E13+F13</f>
        <v>-3895.61</v>
      </c>
    </row>
    <row r="14" spans="1:7" ht="16">
      <c r="A14" s="31" t="s">
        <v>11</v>
      </c>
      <c r="B14" s="38"/>
      <c r="C14" s="38"/>
      <c r="D14" s="38"/>
      <c r="E14" s="38"/>
      <c r="F14" s="41">
        <v>-3374.3</v>
      </c>
      <c r="G14" s="41">
        <f>B14+C14+D14+E14+F14</f>
        <v>-3374.3</v>
      </c>
    </row>
    <row r="15" spans="1:7" ht="16">
      <c r="A15" s="31" t="s">
        <v>12</v>
      </c>
      <c r="B15" s="38"/>
      <c r="C15" s="38"/>
      <c r="D15" s="38"/>
      <c r="E15" s="38"/>
      <c r="F15" s="41">
        <v>-3666.62</v>
      </c>
      <c r="G15" s="41">
        <f>B15+C15+D15+E15+F15</f>
        <v>-3666.62</v>
      </c>
    </row>
    <row r="16" spans="1:7" ht="16">
      <c r="A16" s="31" t="s">
        <v>13</v>
      </c>
      <c r="B16" s="38"/>
      <c r="C16" s="38"/>
      <c r="D16" s="38"/>
      <c r="E16" s="38"/>
      <c r="F16" s="41">
        <v>-2112.82</v>
      </c>
      <c r="G16" s="41">
        <f>B16+C16+D16+E16+F16</f>
        <v>-2112.82</v>
      </c>
    </row>
    <row r="17" spans="1:7" ht="16">
      <c r="A17" s="31" t="s">
        <v>14</v>
      </c>
      <c r="B17" s="38"/>
      <c r="C17" s="38"/>
      <c r="D17" s="38"/>
      <c r="E17" s="38"/>
      <c r="F17" s="38"/>
      <c r="G17" s="38"/>
    </row>
    <row r="18" spans="1:7" ht="16" outlineLevel="1">
      <c r="A18" s="32" t="s">
        <v>15</v>
      </c>
      <c r="B18" s="38"/>
      <c r="C18" s="38"/>
      <c r="D18" s="41">
        <v>477.5</v>
      </c>
      <c r="E18" s="38"/>
      <c r="F18" s="38"/>
      <c r="G18" s="41">
        <f>B18+C18+D18+E18+F18</f>
        <v>477.5</v>
      </c>
    </row>
    <row r="19" spans="1:7" ht="16" outlineLevel="1">
      <c r="A19" s="32" t="s">
        <v>16</v>
      </c>
      <c r="B19" s="38"/>
      <c r="C19" s="38"/>
      <c r="D19" s="41">
        <v>4.0</v>
      </c>
      <c r="E19" s="41">
        <v>81.0</v>
      </c>
      <c r="F19" s="38"/>
      <c r="G19" s="41">
        <f>B19+C19+D19+E19+F19</f>
        <v>85.0</v>
      </c>
    </row>
    <row r="20" spans="1:7" ht="16">
      <c r="A20" s="33" t="s">
        <v>17</v>
      </c>
      <c r="B20" s="39"/>
      <c r="C20" s="39"/>
      <c r="D20" s="39">
        <f>D18+D19</f>
        <v>481.5</v>
      </c>
      <c r="E20" s="39">
        <f>E18+E19</f>
        <v>81.0</v>
      </c>
      <c r="F20" s="39"/>
      <c r="G20" s="42">
        <f>B20+C20+D20+E20+F20</f>
        <v>562.5</v>
      </c>
    </row>
    <row r="21" spans="1:7" ht="16">
      <c r="A21" s="31" t="s">
        <v>18</v>
      </c>
      <c r="B21" s="38"/>
      <c r="C21" s="38"/>
      <c r="D21" s="41">
        <v>629.1</v>
      </c>
      <c r="E21" s="38"/>
      <c r="F21" s="38"/>
      <c r="G21" s="41">
        <f>B21+C21+D21+E21+F21</f>
        <v>629.1</v>
      </c>
    </row>
    <row r="22" spans="1:7" ht="16">
      <c r="A22" s="31" t="s">
        <v>19</v>
      </c>
      <c r="B22" s="38"/>
      <c r="C22" s="38"/>
      <c r="D22" s="38"/>
      <c r="E22" s="38"/>
      <c r="F22" s="41">
        <v>-5474.7</v>
      </c>
      <c r="G22" s="41">
        <f>B22+C22+D22+E22+F22</f>
        <v>-5474.7</v>
      </c>
    </row>
    <row r="23" spans="1:7" ht="16">
      <c r="A23" s="31" t="s">
        <v>20</v>
      </c>
      <c r="B23" s="38"/>
      <c r="C23" s="38"/>
      <c r="D23" s="38"/>
      <c r="E23" s="38"/>
      <c r="F23" s="41">
        <v>-4424.78</v>
      </c>
      <c r="G23" s="41">
        <f>B23+C23+D23+E23+F23</f>
        <v>-4424.78</v>
      </c>
    </row>
    <row r="24" spans="1:7" ht="16">
      <c r="A24" s="31" t="s">
        <v>21</v>
      </c>
      <c r="B24" s="38"/>
      <c r="C24" s="38"/>
      <c r="D24" s="38"/>
      <c r="E24" s="38"/>
      <c r="F24" s="41">
        <v>-1861.16</v>
      </c>
      <c r="G24" s="41">
        <f>B24+C24+D24+E24+F24</f>
        <v>-1861.16</v>
      </c>
    </row>
    <row r="25" spans="1:7" ht="16">
      <c r="A25" s="31" t="s">
        <v>22</v>
      </c>
      <c r="B25" s="38"/>
      <c r="C25" s="38"/>
      <c r="D25" s="38"/>
      <c r="E25" s="38"/>
      <c r="F25" s="41">
        <v>-2380.92</v>
      </c>
      <c r="G25" s="41">
        <f>B25+C25+D25+E25+F25</f>
        <v>-2380.92</v>
      </c>
    </row>
    <row r="26" spans="1:7" ht="16">
      <c r="A26" s="31" t="s">
        <v>23</v>
      </c>
      <c r="B26" s="38"/>
      <c r="C26" s="38"/>
      <c r="D26" s="38"/>
      <c r="E26" s="38"/>
      <c r="F26" s="41">
        <v>-2481.14</v>
      </c>
      <c r="G26" s="41">
        <f>B26+C26+D26+E26+F26</f>
        <v>-2481.14</v>
      </c>
    </row>
    <row r="27" spans="1:7" ht="16">
      <c r="A27" s="31" t="s">
        <v>24</v>
      </c>
      <c r="B27" s="38"/>
      <c r="C27" s="38"/>
      <c r="D27" s="38"/>
      <c r="E27" s="38"/>
      <c r="F27" s="41">
        <v>-1603.89</v>
      </c>
      <c r="G27" s="41">
        <f>B27+C27+D27+E27+F27</f>
        <v>-1603.89</v>
      </c>
    </row>
    <row r="28" spans="1:7" ht="16">
      <c r="A28" s="31" t="s">
        <v>25</v>
      </c>
      <c r="B28" s="38"/>
      <c r="C28" s="38"/>
      <c r="D28" s="38"/>
      <c r="E28" s="41">
        <v>-320.0</v>
      </c>
      <c r="F28" s="41">
        <v>-4138.42</v>
      </c>
      <c r="G28" s="41">
        <f>B28+C28+D28+E28+F28</f>
        <v>-4458.42</v>
      </c>
    </row>
    <row r="29" spans="1:7" ht="16">
      <c r="A29" s="31" t="s">
        <v>26</v>
      </c>
      <c r="B29" s="38"/>
      <c r="C29" s="38"/>
      <c r="D29" s="38"/>
      <c r="E29" s="38"/>
      <c r="F29" s="41">
        <v>-4306.76</v>
      </c>
      <c r="G29" s="41">
        <f>B29+C29+D29+E29+F29</f>
        <v>-4306.76</v>
      </c>
    </row>
    <row r="30" spans="1:7" ht="16">
      <c r="A30" s="31" t="s">
        <v>27</v>
      </c>
      <c r="B30" s="38"/>
      <c r="C30" s="38"/>
      <c r="D30" s="41">
        <v>81.0</v>
      </c>
      <c r="E30" s="38"/>
      <c r="F30" s="38"/>
      <c r="G30" s="41">
        <f>B30+C30+D30+E30+F30</f>
        <v>81.0</v>
      </c>
    </row>
    <row r="31" spans="1:7" ht="16">
      <c r="A31" s="31" t="s">
        <v>28</v>
      </c>
      <c r="B31" s="38"/>
      <c r="C31" s="38"/>
      <c r="D31" s="41">
        <v>450.0</v>
      </c>
      <c r="E31" s="38"/>
      <c r="F31" s="38"/>
      <c r="G31" s="41">
        <f>B31+C31+D31+E31+F31</f>
        <v>450.0</v>
      </c>
    </row>
    <row r="32" spans="1:7" ht="16">
      <c r="A32" s="31" t="s">
        <v>29</v>
      </c>
      <c r="B32" s="38"/>
      <c r="C32" s="38"/>
      <c r="D32" s="38"/>
      <c r="E32" s="38"/>
      <c r="F32" s="41">
        <v>-5265.84</v>
      </c>
      <c r="G32" s="41">
        <f>B32+C32+D32+E32+F32</f>
        <v>-5265.84</v>
      </c>
    </row>
    <row r="33" spans="1:7" ht="16">
      <c r="A33" s="31" t="s">
        <v>30</v>
      </c>
      <c r="B33" s="38"/>
      <c r="C33" s="38"/>
      <c r="D33" s="38"/>
      <c r="E33" s="38"/>
      <c r="F33" s="41">
        <v>-319.78</v>
      </c>
      <c r="G33" s="41">
        <f>B33+C33+D33+E33+F33</f>
        <v>-319.78</v>
      </c>
    </row>
    <row r="34" spans="1:7" ht="16">
      <c r="A34" s="31" t="s">
        <v>31</v>
      </c>
      <c r="B34" s="38"/>
      <c r="C34" s="38"/>
      <c r="D34" s="38"/>
      <c r="E34" s="41">
        <v>75.0</v>
      </c>
      <c r="F34" s="38"/>
      <c r="G34" s="41">
        <f>B34+C34+D34+E34+F34</f>
        <v>75.0</v>
      </c>
    </row>
    <row r="35" spans="1:7" ht="16">
      <c r="A35" s="31" t="s">
        <v>32</v>
      </c>
      <c r="B35" s="38"/>
      <c r="C35" s="38"/>
      <c r="D35" s="38"/>
      <c r="E35" s="38"/>
      <c r="F35" s="41">
        <v>-3475.31</v>
      </c>
      <c r="G35" s="41">
        <f>B35+C35+D35+E35+F35</f>
        <v>-3475.31</v>
      </c>
    </row>
    <row r="36" spans="1:7" ht="16">
      <c r="A36" s="31" t="s">
        <v>33</v>
      </c>
      <c r="B36" s="38"/>
      <c r="C36" s="38"/>
      <c r="D36" s="38"/>
      <c r="E36" s="38"/>
      <c r="F36" s="41">
        <v>-4664.25</v>
      </c>
      <c r="G36" s="41">
        <f>B36+C36+D36+E36+F36</f>
        <v>-4664.25</v>
      </c>
    </row>
    <row r="37" spans="1:7" ht="16">
      <c r="A37" s="31" t="s">
        <v>34</v>
      </c>
      <c r="B37" s="38"/>
      <c r="C37" s="38"/>
      <c r="D37" s="38"/>
      <c r="E37" s="38"/>
      <c r="F37" s="41">
        <v>-3700.06</v>
      </c>
      <c r="G37" s="41">
        <f>B37+C37+D37+E37+F37</f>
        <v>-3700.06</v>
      </c>
    </row>
    <row r="38" spans="1:7" ht="16">
      <c r="A38" s="31" t="s">
        <v>35</v>
      </c>
      <c r="B38" s="38"/>
      <c r="C38" s="38"/>
      <c r="D38" s="38"/>
      <c r="E38" s="38"/>
      <c r="F38" s="41">
        <v>-5004.65</v>
      </c>
      <c r="G38" s="41">
        <f>B38+C38+D38+E38+F38</f>
        <v>-5004.65</v>
      </c>
    </row>
    <row r="39" spans="1:7" ht="16">
      <c r="A39" s="31" t="s">
        <v>36</v>
      </c>
      <c r="B39" s="38"/>
      <c r="C39" s="38"/>
      <c r="D39" s="38"/>
      <c r="E39" s="38"/>
      <c r="F39" s="41">
        <v>-2848.76</v>
      </c>
      <c r="G39" s="41">
        <f>B39+C39+D39+E39+F39</f>
        <v>-2848.76</v>
      </c>
    </row>
    <row r="40" spans="1:7" ht="16">
      <c r="A40" s="31" t="s">
        <v>37</v>
      </c>
      <c r="B40" s="38"/>
      <c r="C40" s="38"/>
      <c r="D40" s="38"/>
      <c r="E40" s="38"/>
      <c r="F40" s="41">
        <v>-346.33</v>
      </c>
      <c r="G40" s="41">
        <f>B40+C40+D40+E40+F40</f>
        <v>-346.33</v>
      </c>
    </row>
    <row r="41" spans="1:7" ht="16">
      <c r="A41" s="31" t="s">
        <v>38</v>
      </c>
      <c r="B41" s="38"/>
      <c r="C41" s="38"/>
      <c r="D41" s="38"/>
      <c r="E41" s="41">
        <v>-100.0</v>
      </c>
      <c r="F41" s="41">
        <v>-4792.28</v>
      </c>
      <c r="G41" s="41">
        <f>B41+C41+D41+E41+F41</f>
        <v>-4892.28</v>
      </c>
    </row>
    <row r="42" spans="1:7" ht="16">
      <c r="A42" s="31" t="s">
        <v>39</v>
      </c>
      <c r="B42" s="38"/>
      <c r="C42" s="38"/>
      <c r="D42" s="38"/>
      <c r="E42" s="41">
        <v>-105.0</v>
      </c>
      <c r="F42" s="41">
        <v>-4724.53</v>
      </c>
      <c r="G42" s="41">
        <f>B42+C42+D42+E42+F42</f>
        <v>-4829.53</v>
      </c>
    </row>
    <row r="43" spans="1:7" ht="16">
      <c r="A43" s="31" t="s">
        <v>40</v>
      </c>
      <c r="B43" s="38"/>
      <c r="C43" s="38"/>
      <c r="D43" s="41">
        <v>314.28</v>
      </c>
      <c r="E43" s="38"/>
      <c r="F43" s="38"/>
      <c r="G43" s="41">
        <f>B43+C43+D43+E43+F43</f>
        <v>314.28</v>
      </c>
    </row>
    <row r="44" spans="1:7" ht="16">
      <c r="A44" s="31" t="s">
        <v>41</v>
      </c>
      <c r="B44" s="38"/>
      <c r="C44" s="38"/>
      <c r="D44" s="38"/>
      <c r="E44" s="41">
        <v>-660.0</v>
      </c>
      <c r="F44" s="41">
        <v>-1238.62</v>
      </c>
      <c r="G44" s="41">
        <f>B44+C44+D44+E44+F44</f>
        <v>-1898.62</v>
      </c>
    </row>
    <row r="45" spans="1:7" ht="16">
      <c r="A45" s="31" t="s">
        <v>42</v>
      </c>
      <c r="B45" s="38"/>
      <c r="C45" s="38"/>
      <c r="D45" s="38"/>
      <c r="E45" s="38"/>
      <c r="F45" s="41">
        <v>-8732.81</v>
      </c>
      <c r="G45" s="41">
        <f>B45+C45+D45+E45+F45</f>
        <v>-8732.81</v>
      </c>
    </row>
    <row r="46" spans="1:7" ht="16">
      <c r="A46" s="31" t="s">
        <v>43</v>
      </c>
      <c r="B46" s="38"/>
      <c r="C46" s="38"/>
      <c r="D46" s="38"/>
      <c r="E46" s="41">
        <v>-439.81</v>
      </c>
      <c r="F46" s="41">
        <v>-732.28</v>
      </c>
      <c r="G46" s="41">
        <f>B46+C46+D46+E46+F46</f>
        <v>-1172.09</v>
      </c>
    </row>
    <row r="47" spans="1:7" ht="16">
      <c r="A47" s="31" t="s">
        <v>44</v>
      </c>
      <c r="B47" s="38"/>
      <c r="C47" s="38"/>
      <c r="D47" s="38"/>
      <c r="E47" s="38"/>
      <c r="F47" s="41">
        <v>-3449.64</v>
      </c>
      <c r="G47" s="41">
        <f>B47+C47+D47+E47+F47</f>
        <v>-3449.64</v>
      </c>
    </row>
    <row r="48" spans="1:7" ht="16">
      <c r="A48" s="31" t="s">
        <v>45</v>
      </c>
      <c r="B48" s="38"/>
      <c r="C48" s="38"/>
      <c r="D48" s="38"/>
      <c r="E48" s="41">
        <v>-712.88</v>
      </c>
      <c r="F48" s="41">
        <v>-5017.43</v>
      </c>
      <c r="G48" s="41">
        <f>B48+C48+D48+E48+F48</f>
        <v>-5730.31</v>
      </c>
    </row>
    <row r="49" spans="1:7" ht="16">
      <c r="A49" s="31" t="s">
        <v>46</v>
      </c>
      <c r="B49" s="38"/>
      <c r="C49" s="38"/>
      <c r="D49" s="38"/>
      <c r="E49" s="38"/>
      <c r="F49" s="41">
        <v>-2245.58</v>
      </c>
      <c r="G49" s="41">
        <f>B49+C49+D49+E49+F49</f>
        <v>-2245.58</v>
      </c>
    </row>
    <row r="50" spans="1:7" ht="16">
      <c r="A50" s="31" t="s">
        <v>47</v>
      </c>
      <c r="B50" s="38"/>
      <c r="C50" s="38"/>
      <c r="D50" s="41">
        <v>954.75</v>
      </c>
      <c r="E50" s="38"/>
      <c r="F50" s="38"/>
      <c r="G50" s="41">
        <f>B50+C50+D50+E50+F50</f>
        <v>954.75</v>
      </c>
    </row>
    <row r="51" spans="1:7" ht="16">
      <c r="A51" s="31" t="s">
        <v>48</v>
      </c>
      <c r="B51" s="38"/>
      <c r="C51" s="38"/>
      <c r="D51" s="38"/>
      <c r="E51" s="38"/>
      <c r="F51" s="41">
        <v>-879.09</v>
      </c>
      <c r="G51" s="41">
        <f>B51+C51+D51+E51+F51</f>
        <v>-879.09</v>
      </c>
    </row>
    <row r="52" spans="1:7" ht="16">
      <c r="A52" s="31" t="s">
        <v>49</v>
      </c>
      <c r="B52" s="38"/>
      <c r="C52" s="38"/>
      <c r="D52" s="38"/>
      <c r="E52" s="41">
        <v>-446.76</v>
      </c>
      <c r="F52" s="41">
        <v>-5488.54</v>
      </c>
      <c r="G52" s="41">
        <f>B52+C52+D52+E52+F52</f>
        <v>-5935.3</v>
      </c>
    </row>
    <row r="53" spans="1:7" ht="16">
      <c r="A53" s="31" t="s">
        <v>50</v>
      </c>
      <c r="B53" s="38"/>
      <c r="C53" s="38"/>
      <c r="D53" s="41">
        <v>70.0</v>
      </c>
      <c r="E53" s="38"/>
      <c r="F53" s="41">
        <v>156.0</v>
      </c>
      <c r="G53" s="41">
        <f>B53+C53+D53+E53+F53</f>
        <v>226.0</v>
      </c>
    </row>
    <row r="54" spans="1:7" ht="16">
      <c r="A54" s="31" t="s">
        <v>51</v>
      </c>
      <c r="B54" s="38"/>
      <c r="C54" s="38"/>
      <c r="D54" s="38"/>
      <c r="E54" s="41">
        <v>-257.54</v>
      </c>
      <c r="F54" s="41">
        <v>-2816.54</v>
      </c>
      <c r="G54" s="41">
        <f>B54+C54+D54+E54+F54</f>
        <v>-3074.08</v>
      </c>
    </row>
    <row r="55" spans="1:7" ht="16">
      <c r="A55" s="31" t="s">
        <v>52</v>
      </c>
      <c r="B55" s="38"/>
      <c r="C55" s="38"/>
      <c r="D55" s="38"/>
      <c r="E55" s="41">
        <v>-600.0</v>
      </c>
      <c r="F55" s="41">
        <v>-1455.15</v>
      </c>
      <c r="G55" s="41">
        <f>B55+C55+D55+E55+F55</f>
        <v>-2055.15</v>
      </c>
    </row>
    <row r="56" spans="1:7" ht="16">
      <c r="A56" s="31" t="s">
        <v>53</v>
      </c>
      <c r="B56" s="38"/>
      <c r="C56" s="38"/>
      <c r="D56" s="38"/>
      <c r="E56" s="38"/>
      <c r="F56" s="41">
        <v>-1565.61</v>
      </c>
      <c r="G56" s="41">
        <f>B56+C56+D56+E56+F56</f>
        <v>-1565.61</v>
      </c>
    </row>
    <row r="57" spans="1:7" ht="16">
      <c r="A57" s="31" t="s">
        <v>54</v>
      </c>
      <c r="B57" s="38"/>
      <c r="C57" s="38"/>
      <c r="D57" s="41">
        <v>78.6</v>
      </c>
      <c r="E57" s="38"/>
      <c r="F57" s="38"/>
      <c r="G57" s="41">
        <f>B57+C57+D57+E57+F57</f>
        <v>78.6</v>
      </c>
    </row>
    <row r="58" spans="1:7" ht="16">
      <c r="A58" s="31" t="s">
        <v>55</v>
      </c>
      <c r="B58" s="38"/>
      <c r="C58" s="38"/>
      <c r="D58" s="38"/>
      <c r="E58" s="38"/>
      <c r="F58" s="41">
        <v>-4981.16</v>
      </c>
      <c r="G58" s="41">
        <f>B58+C58+D58+E58+F58</f>
        <v>-4981.16</v>
      </c>
    </row>
    <row r="59" spans="1:7" ht="16">
      <c r="A59" s="31" t="s">
        <v>56</v>
      </c>
      <c r="B59" s="38"/>
      <c r="C59" s="38"/>
      <c r="D59" s="38"/>
      <c r="E59" s="38"/>
      <c r="F59" s="41">
        <v>-2243.61</v>
      </c>
      <c r="G59" s="41">
        <f>B59+C59+D59+E59+F59</f>
        <v>-2243.61</v>
      </c>
    </row>
    <row r="60" spans="1:7" ht="16">
      <c r="A60" s="31" t="s">
        <v>57</v>
      </c>
      <c r="B60" s="38"/>
      <c r="C60" s="38"/>
      <c r="D60" s="38"/>
      <c r="E60" s="41">
        <v>-590.0</v>
      </c>
      <c r="F60" s="41">
        <v>-247.92</v>
      </c>
      <c r="G60" s="41">
        <f>B60+C60+D60+E60+F60</f>
        <v>-837.92</v>
      </c>
    </row>
    <row r="61" spans="1:7" ht="16">
      <c r="A61" s="31" t="s">
        <v>58</v>
      </c>
      <c r="B61" s="38"/>
      <c r="C61" s="38"/>
      <c r="D61" s="38"/>
      <c r="E61" s="38"/>
      <c r="F61" s="41">
        <v>-5975.34</v>
      </c>
      <c r="G61" s="41">
        <f>B61+C61+D61+E61+F61</f>
        <v>-5975.34</v>
      </c>
    </row>
    <row r="62" spans="1:7" ht="16">
      <c r="A62" s="31" t="s">
        <v>59</v>
      </c>
      <c r="B62" s="38"/>
      <c r="C62" s="38"/>
      <c r="D62" s="38"/>
      <c r="E62" s="38"/>
      <c r="F62" s="38"/>
      <c r="G62" s="38"/>
    </row>
    <row r="63" spans="1:7" ht="16" outlineLevel="1">
      <c r="A63" s="32" t="s">
        <v>60</v>
      </c>
      <c r="B63" s="38"/>
      <c r="C63" s="38"/>
      <c r="D63" s="41">
        <v>274.5</v>
      </c>
      <c r="E63" s="38"/>
      <c r="F63" s="38"/>
      <c r="G63" s="41">
        <f>B63+C63+D63+E63+F63</f>
        <v>274.5</v>
      </c>
    </row>
    <row r="64" spans="1:7" ht="16">
      <c r="A64" s="33" t="s">
        <v>61</v>
      </c>
      <c r="B64" s="39"/>
      <c r="C64" s="39"/>
      <c r="D64" s="39">
        <f>D63</f>
        <v>274.5</v>
      </c>
      <c r="E64" s="39"/>
      <c r="F64" s="39"/>
      <c r="G64" s="42">
        <f>B64+C64+D64+E64+F64</f>
        <v>274.5</v>
      </c>
    </row>
    <row r="65" spans="1:7" ht="16">
      <c r="A65" s="31" t="s">
        <v>62</v>
      </c>
      <c r="B65" s="38"/>
      <c r="C65" s="38"/>
      <c r="D65" s="38"/>
      <c r="E65" s="38"/>
      <c r="F65" s="41">
        <v>-4500.96</v>
      </c>
      <c r="G65" s="41">
        <f>B65+C65+D65+E65+F65</f>
        <v>-4500.96</v>
      </c>
    </row>
    <row r="66" spans="1:7" ht="16">
      <c r="A66" s="31" t="s">
        <v>63</v>
      </c>
      <c r="B66" s="38"/>
      <c r="C66" s="38"/>
      <c r="D66" s="41">
        <v>362.07</v>
      </c>
      <c r="E66" s="38"/>
      <c r="F66" s="38"/>
      <c r="G66" s="41">
        <f>B66+C66+D66+E66+F66</f>
        <v>362.07</v>
      </c>
    </row>
    <row r="67" spans="1:7" ht="16">
      <c r="A67" s="31" t="s">
        <v>64</v>
      </c>
      <c r="B67" s="38"/>
      <c r="C67" s="38"/>
      <c r="D67" s="38"/>
      <c r="E67" s="41">
        <v>-280.0</v>
      </c>
      <c r="F67" s="41">
        <v>-4199.26</v>
      </c>
      <c r="G67" s="41">
        <f>B67+C67+D67+E67+F67</f>
        <v>-4479.26</v>
      </c>
    </row>
    <row r="68" spans="1:7" ht="16">
      <c r="A68" s="31" t="s">
        <v>65</v>
      </c>
      <c r="B68" s="38"/>
      <c r="C68" s="38"/>
      <c r="D68" s="41">
        <v>160.0</v>
      </c>
      <c r="E68" s="38"/>
      <c r="F68" s="38"/>
      <c r="G68" s="41">
        <f>B68+C68+D68+E68+F68</f>
        <v>160.0</v>
      </c>
    </row>
    <row r="69" spans="1:7" ht="16">
      <c r="A69" s="31" t="s">
        <v>66</v>
      </c>
      <c r="B69" s="38"/>
      <c r="C69" s="38"/>
      <c r="D69" s="38"/>
      <c r="E69" s="38"/>
      <c r="F69" s="41">
        <v>-3643.1</v>
      </c>
      <c r="G69" s="41">
        <f>B69+C69+D69+E69+F69</f>
        <v>-3643.1</v>
      </c>
    </row>
    <row r="70" spans="1:7" ht="16">
      <c r="A70" s="31" t="s">
        <v>67</v>
      </c>
      <c r="B70" s="38"/>
      <c r="C70" s="38"/>
      <c r="D70" s="38"/>
      <c r="E70" s="38"/>
      <c r="F70" s="41">
        <v>-547.67</v>
      </c>
      <c r="G70" s="41">
        <f>B70+C70+D70+E70+F70</f>
        <v>-547.67</v>
      </c>
    </row>
    <row r="71" spans="1:7" ht="16">
      <c r="A71" s="31" t="s">
        <v>68</v>
      </c>
      <c r="B71" s="38"/>
      <c r="C71" s="38"/>
      <c r="D71" s="41">
        <v>414.72</v>
      </c>
      <c r="E71" s="38"/>
      <c r="F71" s="38"/>
      <c r="G71" s="41">
        <f>B71+C71+D71+E71+F71</f>
        <v>414.72</v>
      </c>
    </row>
    <row r="72" spans="1:7" ht="16">
      <c r="A72" s="31" t="s">
        <v>69</v>
      </c>
      <c r="B72" s="38"/>
      <c r="C72" s="38"/>
      <c r="D72" s="38"/>
      <c r="E72" s="38"/>
      <c r="F72" s="41">
        <v>-5341.09</v>
      </c>
      <c r="G72" s="41">
        <f>B72+C72+D72+E72+F72</f>
        <v>-5341.09</v>
      </c>
    </row>
    <row r="73" spans="1:7" ht="16">
      <c r="A73" s="31" t="s">
        <v>70</v>
      </c>
      <c r="B73" s="38"/>
      <c r="C73" s="38"/>
      <c r="D73" s="38"/>
      <c r="E73" s="38"/>
      <c r="F73" s="41">
        <v>-8584.97</v>
      </c>
      <c r="G73" s="41">
        <f>B73+C73+D73+E73+F73</f>
        <v>-8584.97</v>
      </c>
    </row>
    <row r="74" spans="1:7" ht="16">
      <c r="A74" s="31" t="s">
        <v>71</v>
      </c>
      <c r="B74" s="38"/>
      <c r="C74" s="38"/>
      <c r="D74" s="41">
        <v>375.0</v>
      </c>
      <c r="E74" s="38"/>
      <c r="F74" s="38"/>
      <c r="G74" s="41">
        <f>B74+C74+D74+E74+F74</f>
        <v>375.0</v>
      </c>
    </row>
    <row r="75" spans="1:7" ht="16">
      <c r="A75" s="31" t="s">
        <v>72</v>
      </c>
      <c r="B75" s="38"/>
      <c r="C75" s="38"/>
      <c r="D75" s="38"/>
      <c r="E75" s="38"/>
      <c r="F75" s="41">
        <v>-4843.5</v>
      </c>
      <c r="G75" s="41">
        <f>B75+C75+D75+E75+F75</f>
        <v>-4843.5</v>
      </c>
    </row>
    <row r="76" spans="1:7" ht="16">
      <c r="A76" s="31" t="s">
        <v>73</v>
      </c>
      <c r="B76" s="38"/>
      <c r="C76" s="38"/>
      <c r="D76" s="38"/>
      <c r="E76" s="38"/>
      <c r="F76" s="41">
        <v>-5128.79</v>
      </c>
      <c r="G76" s="41">
        <f>B76+C76+D76+E76+F76</f>
        <v>-5128.79</v>
      </c>
    </row>
    <row r="77" spans="1:7" ht="16">
      <c r="A77" s="34" t="s">
        <v>74</v>
      </c>
      <c r="B77" s="40"/>
      <c r="C77" s="40"/>
      <c r="D77" s="39">
        <v>4884.52</v>
      </c>
      <c r="E77" s="39">
        <v>-5150.99</v>
      </c>
      <c r="F77" s="39">
        <v>-175537.77999999997</v>
      </c>
      <c r="G77" s="42">
        <f>B77+C77+D77+E77+F77</f>
        <v>-175804.24999999997</v>
      </c>
    </row>
    <row r="81" spans="1:1" ht="16">
      <c r="A81" s="43" t="s">
        <v>82</v>
      </c>
    </row>
  </sheetData>
  <mergeCells count="4">
    <mergeCell ref="A1:G1"/>
    <mergeCell ref="A2:G2"/>
    <mergeCell ref="A3:G3"/>
    <mergeCell ref="A81:G8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