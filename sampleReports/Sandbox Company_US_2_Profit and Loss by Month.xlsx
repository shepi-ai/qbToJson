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00" i="1" l="1"/>
</calcChain>
</file>

<file path=xl/sharedStrings.xml><?xml version="1.0" encoding="utf-8"?>
<sst xmlns="http://schemas.openxmlformats.org/spreadsheetml/2006/main" count="137" uniqueCount="127">
  <si>
    <t>Profit and Loss by Month</t>
  </si>
  <si>
    <t>Sandbox Company_US_2</t>
  </si>
  <si>
    <t>January 1, 2023-December 31, 2025</t>
  </si>
  <si>
    <t>Income</t>
  </si>
  <si>
    <t>Billable Expense Income</t>
  </si>
  <si>
    <t>Design income</t>
  </si>
  <si>
    <t>Discounts given</t>
  </si>
  <si>
    <t>Fees Billed</t>
  </si>
  <si>
    <t>Landscaping Services</t>
  </si>
  <si>
    <t>Job Materials</t>
  </si>
  <si>
    <t>Decks and Patios</t>
  </si>
  <si>
    <t>Fountains and Garden Lighting</t>
  </si>
  <si>
    <t>Plants and Soil</t>
  </si>
  <si>
    <t>Sprinklers and Drip Systems</t>
  </si>
  <si>
    <t>Total for Job Materials</t>
  </si>
  <si>
    <t>Labor</t>
  </si>
  <si>
    <t>Installation</t>
  </si>
  <si>
    <t>Maintenance and Repair</t>
  </si>
  <si>
    <t>Total for Labor</t>
  </si>
  <si>
    <t>Total for Landscaping Services</t>
  </si>
  <si>
    <t>Other Income</t>
  </si>
  <si>
    <t>Pest Control Services</t>
  </si>
  <si>
    <t>Refunds-Allowances</t>
  </si>
  <si>
    <t>Sales of Product Income</t>
  </si>
  <si>
    <t>Services</t>
  </si>
  <si>
    <t>Unapplied Cash Payment Income</t>
  </si>
  <si>
    <t>Uncategorized Income</t>
  </si>
  <si>
    <t>Total for Income</t>
  </si>
  <si>
    <t>Cost of Goods Sold</t>
  </si>
  <si>
    <t>Total for Cost of Goods Sold</t>
  </si>
  <si>
    <t>Gross Profit</t>
  </si>
  <si>
    <t>Expenses</t>
  </si>
  <si>
    <t>Advertising</t>
  </si>
  <si>
    <t>Automobile</t>
  </si>
  <si>
    <t>Fuel</t>
  </si>
  <si>
    <t>Total for Automobile</t>
  </si>
  <si>
    <t>Bank Charges</t>
  </si>
  <si>
    <t>Commissions &amp; fees</t>
  </si>
  <si>
    <t>Disposal Fees</t>
  </si>
  <si>
    <t>Dues &amp; Subscriptions</t>
  </si>
  <si>
    <t>Equipment Rental</t>
  </si>
  <si>
    <t>Insurance</t>
  </si>
  <si>
    <t>Workers Compensation</t>
  </si>
  <si>
    <t>Total for Insurance</t>
  </si>
  <si>
    <t>Job Expenses</t>
  </si>
  <si>
    <t>Cost of Labor</t>
  </si>
  <si>
    <t>Maintenance and Repairs</t>
  </si>
  <si>
    <t>Total for Cost of Labor</t>
  </si>
  <si>
    <t>Fountain and Garden Lighting</t>
  </si>
  <si>
    <t>Permits</t>
  </si>
  <si>
    <t>Total for Job Expenses</t>
  </si>
  <si>
    <t>Legal &amp; Professional Fees</t>
  </si>
  <si>
    <t>Accounting</t>
  </si>
  <si>
    <t>Bookkeeper</t>
  </si>
  <si>
    <t>Lawyer</t>
  </si>
  <si>
    <t>Total for Legal &amp; Professional Fees</t>
  </si>
  <si>
    <t>Building Repairs</t>
  </si>
  <si>
    <t>Computer Repairs</t>
  </si>
  <si>
    <t>Equipment Repairs</t>
  </si>
  <si>
    <t>Total for Maintenance and Repair</t>
  </si>
  <si>
    <t>Meals and Entertainment</t>
  </si>
  <si>
    <t>Office Expenses</t>
  </si>
  <si>
    <t>Promotional</t>
  </si>
  <si>
    <t>Purchases</t>
  </si>
  <si>
    <t>Rent or Lease</t>
  </si>
  <si>
    <t>Stationery &amp; Printing</t>
  </si>
  <si>
    <t>Supplies</t>
  </si>
  <si>
    <t>Taxes &amp; Licenses</t>
  </si>
  <si>
    <t>Travel</t>
  </si>
  <si>
    <t>Travel Meals</t>
  </si>
  <si>
    <t>Unapplied Cash Bill Payment Expense</t>
  </si>
  <si>
    <t>Uncategorized Expense</t>
  </si>
  <si>
    <t>Utilities</t>
  </si>
  <si>
    <t>Gas and Electric</t>
  </si>
  <si>
    <t>Telephone</t>
  </si>
  <si>
    <t>Total for Utilities</t>
  </si>
  <si>
    <t>Total for Expenses</t>
  </si>
  <si>
    <t>Net Operating Income</t>
  </si>
  <si>
    <t>Interest Earned</t>
  </si>
  <si>
    <t>Other Portfolio Income</t>
  </si>
  <si>
    <t>Total for Other Income</t>
  </si>
  <si>
    <t>Other Expenses</t>
  </si>
  <si>
    <t>Depreciation</t>
  </si>
  <si>
    <t>Miscellaneous</t>
  </si>
  <si>
    <t>Penalties &amp; Settlements</t>
  </si>
  <si>
    <t>Total for Other Expenses</t>
  </si>
  <si>
    <t>Net Other Income</t>
  </si>
  <si>
    <t>Net Income</t>
  </si>
  <si>
    <t>Distribution account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</si>
  <si>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</si>
  <si>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</si>
  <si>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</si>
  <si>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</si>
  <si>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</si>
  <si>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</si>
  <si>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</si>
  <si>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</si>
  <si>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</si>
  <si>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</si>
  <si>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</si>
  <si>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</si>
  <si>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</si>
  <si>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</si>
  <si>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</si>
  <si>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</si>
  <si>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</si>
  <si>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</si>
  <si>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</si>
  <si>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</si>
  <si>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</si>
  <si>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</si>
  <si>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</si>
  <si>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</si>
  <si>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</si>
  <si>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</si>
  <si>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</si>
  <si>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</si>
  <si>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</si>
  <si>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</si>
  <si>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</si>
  <si>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</si>
  <si>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</si>
  <si>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</si>
  <si>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</si>
  <si>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</si>
  <si>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Total</t>
  </si>
  <si>
    <t>Accrual Basis Wednesday, March 04, 2026 10:58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</si>
</sst>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104"/>
  <sheetViews>
    <sheetView tabSelected="1" workbookViewId="0" topLeftCell="A1"/>
  </sheetViews>
  <sheetFormatPr defaultColWidth="11.255" defaultRowHeight="16" outlineLevelRow="3"/>
  <cols>
    <col min="1" max="1" width="30.75" style="42" customWidth="1"/>
    <col min="2" max="7" width="16.125" style="42" customWidth="1"/>
    <col min="8" max="8" width="17" style="42" customWidth="1"/>
    <col min="9" max="12" width="16.125" style="42" customWidth="1"/>
    <col min="13" max="13" width="17" style="42" customWidth="1"/>
    <col min="14" max="24" width="16.125" style="42" customWidth="1"/>
    <col min="25" max="25" width="17" style="42" customWidth="1"/>
    <col min="26" max="35" width="16.125" style="42" customWidth="1"/>
    <col min="36" max="36" width="15.25" style="42" customWidth="1"/>
    <col min="37" max="38" width="16.125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38" ht="16">
      <c r="A5" s="44" t="s">
        <v>88</v>
      </c>
      <c r="B5" s="44" t="s">
        <v>89</v>
      </c>
      <c r="C5" s="44" t="s">
        <v>90</v>
      </c>
      <c r="D5" s="44" t="s">
        <v>91</v>
      </c>
      <c r="E5" s="44" t="s">
        <v>92</v>
      </c>
      <c r="F5" s="44" t="s">
        <v>93</v>
      </c>
      <c r="G5" s="44" t="s">
        <v>94</v>
      </c>
      <c r="H5" s="44" t="s">
        <v>95</v>
      </c>
      <c r="I5" s="44" t="s">
        <v>96</v>
      </c>
      <c r="J5" s="44" t="s">
        <v>97</v>
      </c>
      <c r="K5" s="44" t="s">
        <v>98</v>
      </c>
      <c r="L5" s="44" t="s">
        <v>99</v>
      </c>
      <c r="M5" s="44" t="s">
        <v>100</v>
      </c>
      <c r="N5" s="44" t="s">
        <v>101</v>
      </c>
      <c r="O5" s="44" t="s">
        <v>102</v>
      </c>
      <c r="P5" s="44" t="s">
        <v>103</v>
      </c>
      <c r="Q5" s="44" t="s">
        <v>104</v>
      </c>
      <c r="R5" s="44" t="s">
        <v>105</v>
      </c>
      <c r="S5" s="44" t="s">
        <v>106</v>
      </c>
      <c r="T5" s="44" t="s">
        <v>107</v>
      </c>
      <c r="U5" s="44" t="s">
        <v>108</v>
      </c>
      <c r="V5" s="44" t="s">
        <v>109</v>
      </c>
      <c r="W5" s="44" t="s">
        <v>110</v>
      </c>
      <c r="X5" s="44" t="s">
        <v>111</v>
      </c>
      <c r="Y5" s="44" t="s">
        <v>112</v>
      </c>
      <c r="Z5" s="44" t="s">
        <v>113</v>
      </c>
      <c r="AA5" s="44" t="s">
        <v>114</v>
      </c>
      <c r="AB5" s="44" t="s">
        <v>115</v>
      </c>
      <c r="AC5" s="44" t="s">
        <v>116</v>
      </c>
      <c r="AD5" s="44" t="s">
        <v>117</v>
      </c>
      <c r="AE5" s="44" t="s">
        <v>118</v>
      </c>
      <c r="AF5" s="44" t="s">
        <v>119</v>
      </c>
      <c r="AG5" s="44" t="s">
        <v>120</v>
      </c>
      <c r="AH5" s="44" t="s">
        <v>121</v>
      </c>
      <c r="AI5" s="44" t="s">
        <v>122</v>
      </c>
      <c r="AJ5" s="44" t="s">
        <v>123</v>
      </c>
      <c r="AK5" s="44" t="s">
        <v>124</v>
      </c>
      <c r="AL5" s="44" t="s">
        <v>125</v>
      </c>
    </row>
    <row r="6" spans="1:37" ht="16">
      <c r="A6" s="35" t="s">
        <v>3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</row>
    <row r="7" spans="1:38" ht="16" outlineLevel="1">
      <c r="A7" s="36" t="s">
        <v>4</v>
      </c>
      <c r="B7" s="46">
        <v>657.87</v>
      </c>
      <c r="C7" s="45"/>
      <c r="D7" s="45"/>
      <c r="E7" s="45"/>
      <c r="F7" s="45"/>
      <c r="G7" s="46">
        <v>12215.09</v>
      </c>
      <c r="H7" s="45"/>
      <c r="I7" s="45"/>
      <c r="J7" s="45"/>
      <c r="K7" s="45"/>
      <c r="L7" s="45"/>
      <c r="M7" s="45"/>
      <c r="N7" s="46">
        <v>4600.28</v>
      </c>
      <c r="O7" s="45"/>
      <c r="P7" s="45"/>
      <c r="Q7" s="45"/>
      <c r="R7" s="45"/>
      <c r="S7" s="45"/>
      <c r="T7" s="45"/>
      <c r="U7" s="45"/>
      <c r="V7" s="46">
        <v>4161.21</v>
      </c>
      <c r="W7" s="45"/>
      <c r="X7" s="45"/>
      <c r="Y7" s="45"/>
      <c r="Z7" s="45"/>
      <c r="AA7" s="45"/>
      <c r="AB7" s="45"/>
      <c r="AC7" s="46">
        <v>1425.53</v>
      </c>
      <c r="AD7" s="45"/>
      <c r="AE7" s="45"/>
      <c r="AF7" s="45"/>
      <c r="AG7" s="45"/>
      <c r="AH7" s="45"/>
      <c r="AI7" s="45"/>
      <c r="AJ7" s="45"/>
      <c r="AK7" s="45"/>
      <c r="AL7" s="46">
        <f>B7+C7+D7+E7+F7+G7+H7+I7+J7+K7+L7+M7+N7+O7+P7+Q7+R7+S7+T7+U7+V7+W7+X7+Y7+Z7+AA7+AB7+AC7+AD7+AE7+AF7+AG7+AH7+AI7+AJ7+AK7</f>
        <v>23059.98</v>
      </c>
    </row>
    <row r="8" spans="1:38" ht="16" outlineLevel="1">
      <c r="A8" s="36" t="s">
        <v>5</v>
      </c>
      <c r="B8" s="46">
        <v>1875.0</v>
      </c>
      <c r="C8" s="46">
        <v>1125.0</v>
      </c>
      <c r="D8" s="46">
        <v>3717.54</v>
      </c>
      <c r="E8" s="46">
        <v>600.0</v>
      </c>
      <c r="F8" s="46">
        <v>375.0</v>
      </c>
      <c r="G8" s="46">
        <v>1650.0</v>
      </c>
      <c r="H8" s="46">
        <v>19193.73</v>
      </c>
      <c r="I8" s="46">
        <v>3525.0</v>
      </c>
      <c r="J8" s="46">
        <v>2100.0</v>
      </c>
      <c r="K8" s="46">
        <v>975.0</v>
      </c>
      <c r="L8" s="46">
        <v>8257.51</v>
      </c>
      <c r="M8" s="46">
        <v>2475.0</v>
      </c>
      <c r="N8" s="46">
        <v>1125.0</v>
      </c>
      <c r="O8" s="46">
        <v>11085.31</v>
      </c>
      <c r="P8" s="46">
        <v>1200.0</v>
      </c>
      <c r="Q8" s="46">
        <v>21375.11</v>
      </c>
      <c r="R8" s="46">
        <v>450.0</v>
      </c>
      <c r="S8" s="46">
        <v>2325.0</v>
      </c>
      <c r="T8" s="46">
        <v>750.0</v>
      </c>
      <c r="U8" s="46">
        <v>375.0</v>
      </c>
      <c r="V8" s="46">
        <v>2325.0</v>
      </c>
      <c r="W8" s="46">
        <v>1875.0</v>
      </c>
      <c r="X8" s="46">
        <v>2250.0</v>
      </c>
      <c r="Y8" s="46">
        <v>1791.57</v>
      </c>
      <c r="Z8" s="46">
        <v>1950.0</v>
      </c>
      <c r="AA8" s="46">
        <v>7924.09</v>
      </c>
      <c r="AB8" s="46">
        <v>750.0</v>
      </c>
      <c r="AC8" s="46">
        <v>2775.0</v>
      </c>
      <c r="AD8" s="46">
        <v>1875.0</v>
      </c>
      <c r="AE8" s="46">
        <v>750.0</v>
      </c>
      <c r="AF8" s="46">
        <v>1200.0</v>
      </c>
      <c r="AG8" s="46">
        <v>1500.0</v>
      </c>
      <c r="AH8" s="46">
        <v>1800.0</v>
      </c>
      <c r="AI8" s="46">
        <v>675.0</v>
      </c>
      <c r="AJ8" s="46">
        <v>2250.0</v>
      </c>
      <c r="AK8" s="46">
        <v>2925.0</v>
      </c>
      <c r="AL8" s="46">
        <f>B8+C8+D8+E8+F8+G8+H8+I8+J8+K8+L8+M8+N8+O8+P8+Q8+R8+S8+T8+U8+V8+W8+X8+Y8+Z8+AA8+AB8+AC8+AD8+AE8+AF8+AG8+AH8+AI8+AJ8+AK8</f>
        <v>119169.86000000002</v>
      </c>
    </row>
    <row r="9" spans="1:38" ht="16" outlineLevel="1">
      <c r="A9" s="36" t="s">
        <v>6</v>
      </c>
      <c r="B9" s="45"/>
      <c r="C9" s="45"/>
      <c r="D9" s="45"/>
      <c r="E9" s="46">
        <v>12922.62</v>
      </c>
      <c r="F9" s="45"/>
      <c r="G9" s="46">
        <v>8115.22</v>
      </c>
      <c r="H9" s="46">
        <v>19916.47</v>
      </c>
      <c r="I9" s="45"/>
      <c r="J9" s="45"/>
      <c r="K9" s="46">
        <v>24707.59</v>
      </c>
      <c r="L9" s="45"/>
      <c r="M9" s="45"/>
      <c r="N9" s="46">
        <v>31380.2</v>
      </c>
      <c r="O9" s="45"/>
      <c r="P9" s="45"/>
      <c r="Q9" s="45"/>
      <c r="R9" s="46">
        <v>1633.28</v>
      </c>
      <c r="S9" s="46">
        <v>11755.25</v>
      </c>
      <c r="T9" s="46">
        <v>2519.67</v>
      </c>
      <c r="U9" s="45"/>
      <c r="V9" s="45"/>
      <c r="W9" s="45"/>
      <c r="X9" s="46">
        <v>23934.85</v>
      </c>
      <c r="Y9" s="46">
        <v>1739.27</v>
      </c>
      <c r="Z9" s="46">
        <v>3937.06</v>
      </c>
      <c r="AA9" s="45"/>
      <c r="AB9" s="45"/>
      <c r="AC9" s="45"/>
      <c r="AD9" s="45"/>
      <c r="AE9" s="46">
        <v>18200.9</v>
      </c>
      <c r="AF9" s="46">
        <v>3836.68</v>
      </c>
      <c r="AG9" s="45"/>
      <c r="AH9" s="45"/>
      <c r="AI9" s="45"/>
      <c r="AJ9" s="46">
        <v>5070.06</v>
      </c>
      <c r="AK9" s="46">
        <v>-89.5</v>
      </c>
      <c r="AL9" s="46">
        <f>B9+C9+D9+E9+F9+G9+H9+I9+J9+K9+L9+M9+N9+O9+P9+Q9+R9+S9+T9+U9+V9+W9+X9+Y9+Z9+AA9+AB9+AC9+AD9+AE9+AF9+AG9+AH9+AI9+AJ9+AK9</f>
        <v>169579.61999999997</v>
      </c>
    </row>
    <row r="10" spans="1:38" ht="16" outlineLevel="1">
      <c r="A10" s="36" t="s">
        <v>7</v>
      </c>
      <c r="B10" s="45"/>
      <c r="C10" s="45"/>
      <c r="D10" s="45"/>
      <c r="E10" s="46">
        <v>70099.39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6">
        <v>7526.14</v>
      </c>
      <c r="U10" s="46">
        <v>14181.26</v>
      </c>
      <c r="V10" s="45"/>
      <c r="W10" s="45"/>
      <c r="X10" s="46">
        <v>2543.66</v>
      </c>
      <c r="Y10" s="45"/>
      <c r="Z10" s="46">
        <v>7571.77</v>
      </c>
      <c r="AA10" s="45"/>
      <c r="AB10" s="45"/>
      <c r="AC10" s="45"/>
      <c r="AD10" s="45"/>
      <c r="AE10" s="45"/>
      <c r="AF10" s="45"/>
      <c r="AG10" s="46">
        <v>2474.9</v>
      </c>
      <c r="AH10" s="45"/>
      <c r="AI10" s="46">
        <v>1938.18</v>
      </c>
      <c r="AJ10" s="46">
        <v>10128.94</v>
      </c>
      <c r="AK10" s="45"/>
      <c r="AL10" s="46">
        <f>B10+C10+D10+E10+F10+G10+H10+I10+J10+K10+L10+M10+N10+O10+P10+Q10+R10+S10+T10+U10+V10+W10+X10+Y10+Z10+AA10+AB10+AC10+AD10+AE10+AF10+AG10+AH10+AI10+AJ10+AK10</f>
        <v>116464.23999999999</v>
      </c>
    </row>
    <row r="11" spans="1:38" ht="16" outlineLevel="1">
      <c r="A11" s="36" t="s">
        <v>8</v>
      </c>
      <c r="B11" s="46">
        <v>840.0</v>
      </c>
      <c r="C11" s="46">
        <v>665.0</v>
      </c>
      <c r="D11" s="46">
        <v>0</v>
      </c>
      <c r="E11" s="46">
        <v>175.0</v>
      </c>
      <c r="F11" s="46">
        <v>805.0</v>
      </c>
      <c r="G11" s="46">
        <v>105.0</v>
      </c>
      <c r="H11" s="46">
        <v>6570.8</v>
      </c>
      <c r="I11" s="46">
        <v>665.0</v>
      </c>
      <c r="J11" s="46">
        <v>0</v>
      </c>
      <c r="K11" s="46">
        <v>560.0</v>
      </c>
      <c r="L11" s="46">
        <v>560.0</v>
      </c>
      <c r="M11" s="46">
        <v>2264.95</v>
      </c>
      <c r="N11" s="46">
        <v>280.0</v>
      </c>
      <c r="O11" s="46">
        <v>2553.85</v>
      </c>
      <c r="P11" s="46">
        <v>665.0</v>
      </c>
      <c r="Q11" s="46">
        <v>43664.08</v>
      </c>
      <c r="R11" s="46">
        <v>455.0</v>
      </c>
      <c r="S11" s="46">
        <v>16713.24</v>
      </c>
      <c r="T11" s="46">
        <v>385.0</v>
      </c>
      <c r="U11" s="46">
        <v>875.0</v>
      </c>
      <c r="V11" s="46">
        <v>22875.97</v>
      </c>
      <c r="W11" s="46">
        <v>12846.71</v>
      </c>
      <c r="X11" s="46">
        <v>630.0</v>
      </c>
      <c r="Y11" s="46">
        <v>560.0</v>
      </c>
      <c r="Z11" s="46">
        <v>210.0</v>
      </c>
      <c r="AA11" s="46">
        <v>385.0</v>
      </c>
      <c r="AB11" s="46">
        <v>805.0</v>
      </c>
      <c r="AC11" s="46">
        <v>1330.0</v>
      </c>
      <c r="AD11" s="46">
        <v>350.0</v>
      </c>
      <c r="AE11" s="46">
        <v>41433.21</v>
      </c>
      <c r="AF11" s="46">
        <v>8572.98</v>
      </c>
      <c r="AG11" s="46">
        <v>700.0</v>
      </c>
      <c r="AH11" s="46">
        <v>27716.12</v>
      </c>
      <c r="AI11" s="46">
        <v>10689.09</v>
      </c>
      <c r="AJ11" s="46">
        <v>1135.0</v>
      </c>
      <c r="AK11" s="46">
        <v>1130.0</v>
      </c>
      <c r="AL11" s="46">
        <f>B11+C11+D11+E11+F11+G11+H11+I11+J11+K11+L11+M11+N11+O11+P11+Q11+R11+S11+T11+U11+V11+W11+X11+Y11+Z11+AA11+AB11+AC11+AD11+AE11+AF11+AG11+AH11+AI11+AJ11+AK11</f>
        <v>210171.0</v>
      </c>
    </row>
    <row r="12" spans="1:38" ht="16" outlineLevel="2">
      <c r="A12" s="37" t="s">
        <v>9</v>
      </c>
      <c r="B12" s="46">
        <v>2293.04</v>
      </c>
      <c r="C12" s="45"/>
      <c r="D12" s="45"/>
      <c r="E12" s="46">
        <v>4107.35</v>
      </c>
      <c r="F12" s="45"/>
      <c r="G12" s="45"/>
      <c r="H12" s="46">
        <v>40617.36</v>
      </c>
      <c r="I12" s="45"/>
      <c r="J12" s="46">
        <v>32814.61</v>
      </c>
      <c r="K12" s="46">
        <v>5398.09</v>
      </c>
      <c r="L12" s="45"/>
      <c r="M12" s="45"/>
      <c r="N12" s="45"/>
      <c r="O12" s="45"/>
      <c r="P12" s="46">
        <v>8786.36</v>
      </c>
      <c r="Q12" s="45"/>
      <c r="R12" s="45"/>
      <c r="S12" s="45"/>
      <c r="T12" s="45"/>
      <c r="U12" s="45"/>
      <c r="V12" s="45"/>
      <c r="W12" s="46">
        <v>62688.9</v>
      </c>
      <c r="X12" s="45"/>
      <c r="Y12" s="46">
        <v>540.19</v>
      </c>
      <c r="Z12" s="45"/>
      <c r="AA12" s="45"/>
      <c r="AB12" s="45"/>
      <c r="AC12" s="45"/>
      <c r="AD12" s="45"/>
      <c r="AE12" s="46">
        <v>5817.09</v>
      </c>
      <c r="AF12" s="45"/>
      <c r="AG12" s="46">
        <v>39368.18</v>
      </c>
      <c r="AH12" s="45"/>
      <c r="AI12" s="46">
        <v>3838.42</v>
      </c>
      <c r="AJ12" s="45"/>
      <c r="AK12" s="45"/>
      <c r="AL12" s="46">
        <f>B12+C12+D12+E12+F12+G12+H12+I12+J12+K12+L12+M12+N12+O12+P12+Q12+R12+S12+T12+U12+V12+W12+X12+Y12+Z12+AA12+AB12+AC12+AD12+AE12+AF12+AG12+AH12+AI12+AJ12+AK12</f>
        <v>206269.59</v>
      </c>
    </row>
    <row r="13" spans="1:38" ht="16" outlineLevel="3">
      <c r="A13" s="38" t="s">
        <v>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6">
        <v>22749.14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6">
        <v>1396.59</v>
      </c>
      <c r="AB13" s="45"/>
      <c r="AC13" s="45"/>
      <c r="AD13" s="46">
        <v>13917.54</v>
      </c>
      <c r="AE13" s="45"/>
      <c r="AF13" s="45"/>
      <c r="AG13" s="45"/>
      <c r="AH13" s="45"/>
      <c r="AI13" s="45"/>
      <c r="AJ13" s="45"/>
      <c r="AK13" s="45"/>
      <c r="AL13" s="46">
        <f>B13+C13+D13+E13+F13+G13+H13+I13+J13+K13+L13+M13+N13+O13+P13+Q13+R13+S13+T13+U13+V13+W13+X13+Y13+Z13+AA13+AB13+AC13+AD13+AE13+AF13+AG13+AH13+AI13+AJ13+AK13</f>
        <v>38063.270000000004</v>
      </c>
    </row>
    <row r="14" spans="1:38" ht="16" outlineLevel="3">
      <c r="A14" s="38" t="s">
        <v>11</v>
      </c>
      <c r="B14" s="46">
        <v>2521.75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21313.22</v>
      </c>
      <c r="K14" s="46">
        <v>0</v>
      </c>
      <c r="L14" s="46">
        <v>0</v>
      </c>
      <c r="M14" s="46">
        <v>0</v>
      </c>
      <c r="N14" s="46">
        <v>0</v>
      </c>
      <c r="O14" s="46">
        <v>6139.3</v>
      </c>
      <c r="P14" s="46">
        <v>0</v>
      </c>
      <c r="Q14" s="46">
        <v>0</v>
      </c>
      <c r="R14" s="46">
        <v>0</v>
      </c>
      <c r="S14" s="46">
        <v>0</v>
      </c>
      <c r="T14" s="46">
        <v>49903.91</v>
      </c>
      <c r="U14" s="46">
        <v>0</v>
      </c>
      <c r="V14" s="46">
        <v>3571.11</v>
      </c>
      <c r="W14" s="46">
        <v>43454.95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2497.35</v>
      </c>
      <c r="AH14" s="46">
        <v>15848.62</v>
      </c>
      <c r="AI14" s="46">
        <v>323.0</v>
      </c>
      <c r="AJ14" s="46">
        <v>422.0</v>
      </c>
      <c r="AK14" s="46">
        <v>5596.19</v>
      </c>
      <c r="AL14" s="46">
        <f>B14+C14+D14+E14+F14+G14+H14+I14+J14+K14+L14+M14+N14+O14+P14+Q14+R14+S14+T14+U14+V14+W14+X14+Y14+Z14+AA14+AB14+AC14+AD14+AE14+AF14+AG14+AH14+AI14+AJ14+AK14</f>
        <v>151591.40000000002</v>
      </c>
    </row>
    <row r="15" spans="1:38" ht="16" outlineLevel="3">
      <c r="A15" s="38" t="s">
        <v>12</v>
      </c>
      <c r="B15" s="46">
        <v>100.0</v>
      </c>
      <c r="C15" s="46">
        <v>70.0</v>
      </c>
      <c r="D15" s="46">
        <v>80.0</v>
      </c>
      <c r="E15" s="46">
        <v>60.0</v>
      </c>
      <c r="F15" s="46">
        <v>7867.56</v>
      </c>
      <c r="G15" s="46">
        <v>40.0</v>
      </c>
      <c r="H15" s="46">
        <v>190.0</v>
      </c>
      <c r="I15" s="46">
        <v>23525.08</v>
      </c>
      <c r="J15" s="46">
        <v>360.0</v>
      </c>
      <c r="K15" s="46">
        <v>20.0</v>
      </c>
      <c r="L15" s="46">
        <v>21974.67</v>
      </c>
      <c r="M15" s="46">
        <v>250.0</v>
      </c>
      <c r="N15" s="46">
        <v>190.0</v>
      </c>
      <c r="O15" s="46">
        <v>170.0</v>
      </c>
      <c r="P15" s="46">
        <v>280.0</v>
      </c>
      <c r="Q15" s="46">
        <v>13905.89</v>
      </c>
      <c r="R15" s="46">
        <v>320.0</v>
      </c>
      <c r="S15" s="46">
        <v>90.0</v>
      </c>
      <c r="T15" s="46">
        <v>120.0</v>
      </c>
      <c r="U15" s="46">
        <v>380.0</v>
      </c>
      <c r="V15" s="46">
        <v>160.0</v>
      </c>
      <c r="W15" s="46">
        <v>8282.56</v>
      </c>
      <c r="X15" s="46">
        <v>653.81</v>
      </c>
      <c r="Y15" s="46">
        <v>220.0</v>
      </c>
      <c r="Z15" s="46">
        <v>120.0</v>
      </c>
      <c r="AA15" s="46">
        <v>280.0</v>
      </c>
      <c r="AB15" s="46">
        <v>27331.11</v>
      </c>
      <c r="AC15" s="46">
        <v>110.0</v>
      </c>
      <c r="AD15" s="46">
        <v>78887.25</v>
      </c>
      <c r="AE15" s="46">
        <v>10.0</v>
      </c>
      <c r="AF15" s="46">
        <v>190.0</v>
      </c>
      <c r="AG15" s="46">
        <v>60.0</v>
      </c>
      <c r="AH15" s="46">
        <v>301.25</v>
      </c>
      <c r="AI15" s="46">
        <v>9363.08</v>
      </c>
      <c r="AJ15" s="46">
        <v>21887.82</v>
      </c>
      <c r="AK15" s="46">
        <v>5068.61</v>
      </c>
      <c r="AL15" s="46">
        <f>B15+C15+D15+E15+F15+G15+H15+I15+J15+K15+L15+M15+N15+O15+P15+Q15+R15+S15+T15+U15+V15+W15+X15+Y15+Z15+AA15+AB15+AC15+AD15+AE15+AF15+AG15+AH15+AI15+AJ15+AK15</f>
        <v>222918.68999999997</v>
      </c>
    </row>
    <row r="16" spans="1:38" ht="16" outlineLevel="3">
      <c r="A16" s="38" t="s">
        <v>13</v>
      </c>
      <c r="B16" s="45"/>
      <c r="C16" s="46">
        <v>2756.88</v>
      </c>
      <c r="D16" s="45"/>
      <c r="E16" s="45"/>
      <c r="F16" s="45"/>
      <c r="G16" s="45"/>
      <c r="H16" s="45"/>
      <c r="I16" s="46">
        <v>20948.02</v>
      </c>
      <c r="J16" s="45"/>
      <c r="K16" s="45"/>
      <c r="L16" s="45"/>
      <c r="M16" s="46">
        <v>3970.85</v>
      </c>
      <c r="N16" s="45"/>
      <c r="O16" s="45"/>
      <c r="P16" s="46">
        <v>18515.86</v>
      </c>
      <c r="Q16" s="45"/>
      <c r="R16" s="46">
        <v>33237.18</v>
      </c>
      <c r="S16" s="45"/>
      <c r="T16" s="46">
        <v>86544.15</v>
      </c>
      <c r="U16" s="45"/>
      <c r="V16" s="46">
        <v>7846.57</v>
      </c>
      <c r="W16" s="45"/>
      <c r="X16" s="45"/>
      <c r="Y16" s="46">
        <v>986.0</v>
      </c>
      <c r="Z16" s="45"/>
      <c r="AA16" s="45"/>
      <c r="AB16" s="45"/>
      <c r="AC16" s="45"/>
      <c r="AD16" s="45"/>
      <c r="AE16" s="46">
        <v>65092.78</v>
      </c>
      <c r="AF16" s="45"/>
      <c r="AG16" s="45"/>
      <c r="AH16" s="46">
        <v>13890.53</v>
      </c>
      <c r="AI16" s="46">
        <v>108.0</v>
      </c>
      <c r="AJ16" s="46">
        <v>7698.77</v>
      </c>
      <c r="AK16" s="46">
        <v>30.0</v>
      </c>
      <c r="AL16" s="46">
        <f>B16+C16+D16+E16+F16+G16+H16+I16+J16+K16+L16+M16+N16+O16+P16+Q16+R16+S16+T16+U16+V16+W16+X16+Y16+Z16+AA16+AB16+AC16+AD16+AE16+AF16+AG16+AH16+AI16+AJ16+AK16</f>
        <v>261625.59</v>
      </c>
    </row>
    <row r="17" spans="1:38" ht="16" outlineLevel="2">
      <c r="A17" s="39" t="s">
        <v>14</v>
      </c>
      <c r="B17" s="47">
        <f>B12+B13+B14+B15+B16</f>
        <v>4914.79</v>
      </c>
      <c r="C17" s="47">
        <f>C12+C13+C14+C15+C16</f>
        <v>2826.88</v>
      </c>
      <c r="D17" s="47">
        <f>D12+D13+D14+D15+D16</f>
        <v>80.0</v>
      </c>
      <c r="E17" s="47">
        <f>E12+E13+E14+E15+E16</f>
        <v>4167.35</v>
      </c>
      <c r="F17" s="47">
        <f>F12+F13+F14+F15+F16</f>
        <v>7867.56</v>
      </c>
      <c r="G17" s="47">
        <f>G12+G13+G14+G15+G16</f>
        <v>40.0</v>
      </c>
      <c r="H17" s="47">
        <f>H12+H13+H14+H15+H16</f>
        <v>40807.36</v>
      </c>
      <c r="I17" s="47">
        <f>I12+I13+I14+I15+I16</f>
        <v>44473.100000000006</v>
      </c>
      <c r="J17" s="47">
        <f>J12+J13+J14+J15+J16</f>
        <v>54487.83</v>
      </c>
      <c r="K17" s="47">
        <f>K12+K13+K14+K15+K16</f>
        <v>5418.09</v>
      </c>
      <c r="L17" s="47">
        <f>L12+L13+L14+L15+L16</f>
        <v>21974.67</v>
      </c>
      <c r="M17" s="47">
        <f>M12+M13+M14+M15+M16</f>
        <v>4220.85</v>
      </c>
      <c r="N17" s="47">
        <f>N12+N13+N14+N15+N16</f>
        <v>190.0</v>
      </c>
      <c r="O17" s="47">
        <f>O12+O13+O14+O15+O16</f>
        <v>29058.44</v>
      </c>
      <c r="P17" s="47">
        <f>P12+P13+P14+P15+P16</f>
        <v>27582.22</v>
      </c>
      <c r="Q17" s="47">
        <f>Q12+Q13+Q14+Q15+Q16</f>
        <v>13905.89</v>
      </c>
      <c r="R17" s="47">
        <f>R12+R13+R14+R15+R16</f>
        <v>33557.18</v>
      </c>
      <c r="S17" s="47">
        <f>S12+S13+S14+S15+S16</f>
        <v>90.0</v>
      </c>
      <c r="T17" s="47">
        <f>T12+T13+T14+T15+T16</f>
        <v>136568.06</v>
      </c>
      <c r="U17" s="47">
        <f>U12+U13+U14+U15+U16</f>
        <v>380.0</v>
      </c>
      <c r="V17" s="47">
        <f>V12+V13+V14+V15+V16</f>
        <v>11577.68</v>
      </c>
      <c r="W17" s="47">
        <f>W12+W13+W14+W15+W16</f>
        <v>114426.41</v>
      </c>
      <c r="X17" s="47">
        <f>X12+X13+X14+X15+X16</f>
        <v>653.81</v>
      </c>
      <c r="Y17" s="47">
        <f>Y12+Y13+Y14+Y15+Y16</f>
        <v>1746.19</v>
      </c>
      <c r="Z17" s="47">
        <f>Z12+Z13+Z14+Z15+Z16</f>
        <v>120.0</v>
      </c>
      <c r="AA17" s="47">
        <f>AA12+AA13+AA14+AA15+AA16</f>
        <v>1676.59</v>
      </c>
      <c r="AB17" s="47">
        <f>AB12+AB13+AB14+AB15+AB16</f>
        <v>27331.11</v>
      </c>
      <c r="AC17" s="47">
        <f>AC12+AC13+AC14+AC15+AC16</f>
        <v>110.0</v>
      </c>
      <c r="AD17" s="47">
        <f>AD12+AD13+AD14+AD15+AD16</f>
        <v>92804.79000000001</v>
      </c>
      <c r="AE17" s="47">
        <f>AE12+AE13+AE14+AE15+AE16</f>
        <v>70919.87</v>
      </c>
      <c r="AF17" s="47">
        <f>AF12+AF13+AF14+AF15+AF16</f>
        <v>190.0</v>
      </c>
      <c r="AG17" s="47">
        <f>AG12+AG13+AG14+AG15+AG16</f>
        <v>41925.53</v>
      </c>
      <c r="AH17" s="47">
        <f>AH12+AH13+AH14+AH15+AH16</f>
        <v>30040.4</v>
      </c>
      <c r="AI17" s="47">
        <f>AI12+AI13+AI14+AI15+AI16</f>
        <v>13632.5</v>
      </c>
      <c r="AJ17" s="47">
        <f>AJ12+AJ13+AJ14+AJ15+AJ16</f>
        <v>30008.59</v>
      </c>
      <c r="AK17" s="47">
        <f>AK12+AK13+AK14+AK15+AK16</f>
        <v>10694.8</v>
      </c>
      <c r="AL17" s="48">
        <f>B17+C17+D17+E17+F17+G17+H17+I17+J17+K17+L17+M17+N17+O17+P17+Q17+R17+S17+T17+U17+V17+W17+X17+Y17+Z17+AA17+AB17+AC17+AD17+AE17+AF17+AG17+AH17+AI17+AJ17+AK17</f>
        <v>880468.54</v>
      </c>
    </row>
    <row r="18" spans="1:38" ht="16" outlineLevel="2">
      <c r="A18" s="37" t="s">
        <v>15</v>
      </c>
      <c r="B18" s="45"/>
      <c r="C18" s="45"/>
      <c r="D18" s="45"/>
      <c r="E18" s="45"/>
      <c r="F18" s="45"/>
      <c r="G18" s="45"/>
      <c r="H18" s="46">
        <v>90637.44</v>
      </c>
      <c r="I18" s="45"/>
      <c r="J18" s="45"/>
      <c r="K18" s="46">
        <v>9354.97</v>
      </c>
      <c r="L18" s="46">
        <v>2374.58</v>
      </c>
      <c r="M18" s="45"/>
      <c r="N18" s="45"/>
      <c r="O18" s="45"/>
      <c r="P18" s="45"/>
      <c r="Q18" s="45"/>
      <c r="R18" s="46">
        <v>18816.06</v>
      </c>
      <c r="S18" s="45"/>
      <c r="T18" s="46">
        <v>12620.52</v>
      </c>
      <c r="U18" s="45"/>
      <c r="V18" s="45"/>
      <c r="W18" s="45"/>
      <c r="X18" s="45"/>
      <c r="Y18" s="45"/>
      <c r="Z18" s="45"/>
      <c r="AA18" s="46">
        <v>1275.1</v>
      </c>
      <c r="AB18" s="45"/>
      <c r="AC18" s="45"/>
      <c r="AD18" s="45"/>
      <c r="AE18" s="45"/>
      <c r="AF18" s="46">
        <v>6127.64</v>
      </c>
      <c r="AG18" s="46">
        <v>3450.45</v>
      </c>
      <c r="AH18" s="45"/>
      <c r="AI18" s="46">
        <v>3713.86</v>
      </c>
      <c r="AJ18" s="45"/>
      <c r="AK18" s="45"/>
      <c r="AL18" s="46">
        <f>B18+C18+D18+E18+F18+G18+H18+I18+J18+K18+L18+M18+N18+O18+P18+Q18+R18+S18+T18+U18+V18+W18+X18+Y18+Z18+AA18+AB18+AC18+AD18+AE18+AF18+AG18+AH18+AI18+AJ18+AK18</f>
        <v>148370.62000000002</v>
      </c>
    </row>
    <row r="19" spans="1:38" ht="16" outlineLevel="3">
      <c r="A19" s="38" t="s">
        <v>16</v>
      </c>
      <c r="B19" s="46">
        <v>5631.57</v>
      </c>
      <c r="C19" s="46">
        <v>750.0</v>
      </c>
      <c r="D19" s="46">
        <v>1050.0</v>
      </c>
      <c r="E19" s="46">
        <v>50.0</v>
      </c>
      <c r="F19" s="46">
        <v>50.0</v>
      </c>
      <c r="G19" s="46">
        <v>100.0</v>
      </c>
      <c r="H19" s="46">
        <v>550.0</v>
      </c>
      <c r="I19" s="46">
        <v>950.0</v>
      </c>
      <c r="J19" s="46">
        <v>850.0</v>
      </c>
      <c r="K19" s="46">
        <v>22406.94</v>
      </c>
      <c r="L19" s="46">
        <v>1250.0</v>
      </c>
      <c r="M19" s="46">
        <v>400.0</v>
      </c>
      <c r="N19" s="46">
        <v>600.0</v>
      </c>
      <c r="O19" s="46">
        <v>789.72</v>
      </c>
      <c r="P19" s="46">
        <v>600.0</v>
      </c>
      <c r="Q19" s="46">
        <v>800.0</v>
      </c>
      <c r="R19" s="46">
        <v>200.0</v>
      </c>
      <c r="S19" s="46">
        <v>300.0</v>
      </c>
      <c r="T19" s="46">
        <v>450.0</v>
      </c>
      <c r="U19" s="46">
        <v>19547.01</v>
      </c>
      <c r="V19" s="46">
        <v>450.0</v>
      </c>
      <c r="W19" s="46">
        <v>700.0</v>
      </c>
      <c r="X19" s="46">
        <v>800.0</v>
      </c>
      <c r="Y19" s="46">
        <v>950.0</v>
      </c>
      <c r="Z19" s="46">
        <v>950.0</v>
      </c>
      <c r="AA19" s="46">
        <v>1950.0</v>
      </c>
      <c r="AB19" s="46">
        <v>15233.33</v>
      </c>
      <c r="AC19" s="46">
        <v>5316.32</v>
      </c>
      <c r="AD19" s="46">
        <v>9657.61</v>
      </c>
      <c r="AE19" s="46">
        <v>950.0</v>
      </c>
      <c r="AF19" s="46">
        <v>150.0</v>
      </c>
      <c r="AG19" s="46">
        <v>6472.86</v>
      </c>
      <c r="AH19" s="46">
        <v>600.0</v>
      </c>
      <c r="AI19" s="46">
        <v>2407.3</v>
      </c>
      <c r="AJ19" s="46">
        <v>300.0</v>
      </c>
      <c r="AK19" s="46">
        <v>1901.04</v>
      </c>
      <c r="AL19" s="46">
        <f>B19+C19+D19+E19+F19+G19+H19+I19+J19+K19+L19+M19+N19+O19+P19+Q19+R19+S19+T19+U19+V19+W19+X19+Y19+Z19+AA19+AB19+AC19+AD19+AE19+AF19+AG19+AH19+AI19+AJ19+AK19</f>
        <v>106113.69999999998</v>
      </c>
    </row>
    <row r="20" spans="1:38" ht="16" outlineLevel="3">
      <c r="A20" s="38" t="s">
        <v>17</v>
      </c>
      <c r="B20" s="46">
        <v>0</v>
      </c>
      <c r="C20" s="46">
        <v>3922.89</v>
      </c>
      <c r="D20" s="46">
        <v>0</v>
      </c>
      <c r="E20" s="46">
        <v>0</v>
      </c>
      <c r="F20" s="46">
        <v>0</v>
      </c>
      <c r="G20" s="46">
        <v>3224.3</v>
      </c>
      <c r="H20" s="46">
        <v>0</v>
      </c>
      <c r="I20" s="46">
        <v>0</v>
      </c>
      <c r="J20" s="46">
        <v>31229.84</v>
      </c>
      <c r="K20" s="46">
        <v>0</v>
      </c>
      <c r="L20" s="46">
        <v>0</v>
      </c>
      <c r="M20" s="46">
        <v>0</v>
      </c>
      <c r="N20" s="46">
        <v>1253.92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15146.46</v>
      </c>
      <c r="Z20" s="46">
        <v>0</v>
      </c>
      <c r="AA20" s="46">
        <v>31427.86</v>
      </c>
      <c r="AB20" s="46">
        <v>0</v>
      </c>
      <c r="AC20" s="46">
        <v>10174.49</v>
      </c>
      <c r="AD20" s="46">
        <v>0</v>
      </c>
      <c r="AE20" s="46">
        <v>0</v>
      </c>
      <c r="AF20" s="46">
        <v>0</v>
      </c>
      <c r="AG20" s="46">
        <v>0</v>
      </c>
      <c r="AH20" s="46">
        <v>8312.99</v>
      </c>
      <c r="AI20" s="46">
        <v>0</v>
      </c>
      <c r="AJ20" s="46">
        <v>50.0</v>
      </c>
      <c r="AK20" s="46">
        <v>13821.69</v>
      </c>
      <c r="AL20" s="46">
        <f>B20+C20+D20+E20+F20+G20+H20+I20+J20+K20+L20+M20+N20+O20+P20+Q20+R20+S20+T20+U20+V20+W20+X20+Y20+Z20+AA20+AB20+AC20+AD20+AE20+AF20+AG20+AH20+AI20+AJ20+AK20</f>
        <v>118564.44</v>
      </c>
    </row>
    <row r="21" spans="1:38" ht="16" outlineLevel="2">
      <c r="A21" s="39" t="s">
        <v>18</v>
      </c>
      <c r="B21" s="47">
        <f>B18+B19+B20</f>
        <v>5631.57</v>
      </c>
      <c r="C21" s="47">
        <f>C18+C19+C20</f>
        <v>4672.889999999999</v>
      </c>
      <c r="D21" s="47">
        <f>D18+D19+D20</f>
        <v>1050.0</v>
      </c>
      <c r="E21" s="47">
        <f>E18+E19+E20</f>
        <v>50.0</v>
      </c>
      <c r="F21" s="47">
        <f>F18+F19+F20</f>
        <v>50.0</v>
      </c>
      <c r="G21" s="47">
        <f>G18+G19+G20</f>
        <v>3324.3</v>
      </c>
      <c r="H21" s="47">
        <f>H18+H19+H20</f>
        <v>91187.44</v>
      </c>
      <c r="I21" s="47">
        <f>I18+I19+I20</f>
        <v>950.0</v>
      </c>
      <c r="J21" s="47">
        <f>J18+J19+J20</f>
        <v>32079.84</v>
      </c>
      <c r="K21" s="47">
        <f>K18+K19+K20</f>
        <v>31761.909999999996</v>
      </c>
      <c r="L21" s="47">
        <f>L18+L19+L20</f>
        <v>3624.58</v>
      </c>
      <c r="M21" s="47">
        <f>M18+M19+M20</f>
        <v>400.0</v>
      </c>
      <c r="N21" s="47">
        <f>N18+N19+N20</f>
        <v>1853.92</v>
      </c>
      <c r="O21" s="47">
        <f>O18+O19+O20</f>
        <v>789.72</v>
      </c>
      <c r="P21" s="47">
        <f>P18+P19+P20</f>
        <v>600.0</v>
      </c>
      <c r="Q21" s="47">
        <f>Q18+Q19+Q20</f>
        <v>800.0</v>
      </c>
      <c r="R21" s="47">
        <f>R18+R19+R20</f>
        <v>19016.06</v>
      </c>
      <c r="S21" s="47">
        <f>S18+S19+S20</f>
        <v>300.0</v>
      </c>
      <c r="T21" s="47">
        <f>T18+T19+T20</f>
        <v>13070.52</v>
      </c>
      <c r="U21" s="47">
        <f>U18+U19+U20</f>
        <v>19547.01</v>
      </c>
      <c r="V21" s="47">
        <f>V18+V19+V20</f>
        <v>450.0</v>
      </c>
      <c r="W21" s="47">
        <f>W18+W19+W20</f>
        <v>700.0</v>
      </c>
      <c r="X21" s="47">
        <f>X18+X19+X20</f>
        <v>800.0</v>
      </c>
      <c r="Y21" s="47">
        <f>Y18+Y19+Y20</f>
        <v>16096.46</v>
      </c>
      <c r="Z21" s="47">
        <f>Z18+Z19+Z20</f>
        <v>950.0</v>
      </c>
      <c r="AA21" s="47">
        <f>AA18+AA19+AA20</f>
        <v>34652.96</v>
      </c>
      <c r="AB21" s="47">
        <f>AB18+AB19+AB20</f>
        <v>15233.33</v>
      </c>
      <c r="AC21" s="47">
        <f>AC18+AC19+AC20</f>
        <v>15490.81</v>
      </c>
      <c r="AD21" s="47">
        <f>AD18+AD19+AD20</f>
        <v>9657.61</v>
      </c>
      <c r="AE21" s="47">
        <f>AE18+AE19+AE20</f>
        <v>950.0</v>
      </c>
      <c r="AF21" s="47">
        <f>AF18+AF19+AF20</f>
        <v>6277.64</v>
      </c>
      <c r="AG21" s="47">
        <f>AG18+AG19+AG20</f>
        <v>9923.31</v>
      </c>
      <c r="AH21" s="47">
        <f>AH18+AH19+AH20</f>
        <v>8912.99</v>
      </c>
      <c r="AI21" s="47">
        <f>AI18+AI19+AI20</f>
        <v>6121.16</v>
      </c>
      <c r="AJ21" s="47">
        <f>AJ18+AJ19+AJ20</f>
        <v>350.0</v>
      </c>
      <c r="AK21" s="47">
        <f>AK18+AK19+AK20</f>
        <v>15722.73</v>
      </c>
      <c r="AL21" s="48">
        <f>B21+C21+D21+E21+F21+G21+H21+I21+J21+K21+L21+M21+N21+O21+P21+Q21+R21+S21+T21+U21+V21+W21+X21+Y21+Z21+AA21+AB21+AC21+AD21+AE21+AF21+AG21+AH21+AI21+AJ21+AK21</f>
        <v>373048.75999999995</v>
      </c>
    </row>
    <row r="22" spans="1:38" ht="16" outlineLevel="1">
      <c r="A22" s="40" t="s">
        <v>19</v>
      </c>
      <c r="B22" s="47">
        <f>B11+B17+B21</f>
        <v>11386.36</v>
      </c>
      <c r="C22" s="47">
        <f>C11+C17+C21</f>
        <v>8164.7699999999995</v>
      </c>
      <c r="D22" s="47">
        <f>D11+D17+D21</f>
        <v>1130.0</v>
      </c>
      <c r="E22" s="47">
        <f>E11+E17+E21</f>
        <v>4392.35</v>
      </c>
      <c r="F22" s="47">
        <f>F11+F17+F21</f>
        <v>8722.560000000001</v>
      </c>
      <c r="G22" s="47">
        <f>G11+G17+G21</f>
        <v>3469.3</v>
      </c>
      <c r="H22" s="47">
        <f>H11+H17+H21</f>
        <v>138565.6</v>
      </c>
      <c r="I22" s="47">
        <f>I11+I17+I21</f>
        <v>46088.100000000006</v>
      </c>
      <c r="J22" s="47">
        <f>J11+J17+J21</f>
        <v>86567.67</v>
      </c>
      <c r="K22" s="47">
        <f>K11+K17+K21</f>
        <v>37740.0</v>
      </c>
      <c r="L22" s="47">
        <f>L11+L17+L21</f>
        <v>26159.25</v>
      </c>
      <c r="M22" s="47">
        <f>M11+M17+M21</f>
        <v>6885.8</v>
      </c>
      <c r="N22" s="47">
        <f>N11+N17+N21</f>
        <v>2323.92</v>
      </c>
      <c r="O22" s="47">
        <f>O11+O17+O21</f>
        <v>32402.01</v>
      </c>
      <c r="P22" s="47">
        <f>P11+P17+P21</f>
        <v>28847.22</v>
      </c>
      <c r="Q22" s="47">
        <f>Q11+Q17+Q21</f>
        <v>58369.97</v>
      </c>
      <c r="R22" s="47">
        <f>R11+R17+R21</f>
        <v>53028.240000000005</v>
      </c>
      <c r="S22" s="47">
        <f>S11+S17+S21</f>
        <v>17103.24</v>
      </c>
      <c r="T22" s="47">
        <f>T11+T17+T21</f>
        <v>150023.58</v>
      </c>
      <c r="U22" s="47">
        <f>U11+U17+U21</f>
        <v>20802.01</v>
      </c>
      <c r="V22" s="47">
        <f>V11+V17+V21</f>
        <v>34903.65</v>
      </c>
      <c r="W22" s="47">
        <f>W11+W17+W21</f>
        <v>127973.12</v>
      </c>
      <c r="X22" s="47">
        <f>X11+X17+X21</f>
        <v>2083.81</v>
      </c>
      <c r="Y22" s="47">
        <f>Y11+Y17+Y21</f>
        <v>18402.649999999998</v>
      </c>
      <c r="Z22" s="47">
        <f>Z11+Z17+Z21</f>
        <v>1280.0</v>
      </c>
      <c r="AA22" s="47">
        <f>AA11+AA17+AA21</f>
        <v>36714.55</v>
      </c>
      <c r="AB22" s="47">
        <f>AB11+AB17+AB21</f>
        <v>43369.44</v>
      </c>
      <c r="AC22" s="47">
        <f>AC11+AC17+AC21</f>
        <v>16930.809999999998</v>
      </c>
      <c r="AD22" s="47">
        <f>AD11+AD17+AD21</f>
        <v>102812.40000000001</v>
      </c>
      <c r="AE22" s="47">
        <f>AE11+AE17+AE21</f>
        <v>113303.07999999999</v>
      </c>
      <c r="AF22" s="47">
        <f>AF11+AF17+AF21</f>
        <v>15040.619999999999</v>
      </c>
      <c r="AG22" s="47">
        <f>AG11+AG17+AG21</f>
        <v>52548.84</v>
      </c>
      <c r="AH22" s="47">
        <f>AH11+AH17+AH21</f>
        <v>66669.51000000001</v>
      </c>
      <c r="AI22" s="47">
        <f>AI11+AI17+AI21</f>
        <v>30442.75</v>
      </c>
      <c r="AJ22" s="47">
        <f>AJ11+AJ17+AJ21</f>
        <v>31493.59</v>
      </c>
      <c r="AK22" s="47">
        <f>AK11+AK17+AK21</f>
        <v>27547.53</v>
      </c>
      <c r="AL22" s="48">
        <f>B22+C22+D22+E22+F22+G22+H22+I22+J22+K22+L22+M22+N22+O22+P22+Q22+R22+S22+T22+U22+V22+W22+X22+Y22+Z22+AA22+AB22+AC22+AD22+AE22+AF22+AG22+AH22+AI22+AJ22+AK22</f>
        <v>1463688.3000000005</v>
      </c>
    </row>
    <row r="23" spans="1:38" ht="16" outlineLevel="1">
      <c r="A23" s="36" t="s">
        <v>20</v>
      </c>
      <c r="B23" s="46">
        <v>0</v>
      </c>
      <c r="C23" s="46">
        <v>0</v>
      </c>
      <c r="D23" s="46">
        <v>0</v>
      </c>
      <c r="E23" s="46">
        <v>0</v>
      </c>
      <c r="F23" s="46">
        <v>5420.14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2150.3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21633.84</v>
      </c>
      <c r="Y23" s="46">
        <v>0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56312.95</v>
      </c>
      <c r="AF23" s="46">
        <v>0</v>
      </c>
      <c r="AG23" s="46">
        <v>12704.74</v>
      </c>
      <c r="AH23" s="46">
        <v>0</v>
      </c>
      <c r="AI23" s="46">
        <v>0</v>
      </c>
      <c r="AJ23" s="46">
        <v>0</v>
      </c>
      <c r="AK23" s="46">
        <v>0</v>
      </c>
      <c r="AL23" s="46">
        <f>B23+C23+D23+E23+F23+G23+H23+I23+J23+K23+L23+M23+N23+O23+P23+Q23+R23+S23+T23+U23+V23+W23+X23+Y23+Z23+AA23+AB23+AC23+AD23+AE23+AF23+AG23+AH23+AI23+AJ23+AK23</f>
        <v>98221.97</v>
      </c>
    </row>
    <row r="24" spans="1:38" ht="16" outlineLevel="1">
      <c r="A24" s="36" t="s">
        <v>21</v>
      </c>
      <c r="B24" s="46">
        <v>735.0</v>
      </c>
      <c r="C24" s="46">
        <v>5610.13</v>
      </c>
      <c r="D24" s="46">
        <v>875.0</v>
      </c>
      <c r="E24" s="46">
        <v>595.0</v>
      </c>
      <c r="F24" s="46">
        <v>89679.23</v>
      </c>
      <c r="G24" s="46">
        <v>525.0</v>
      </c>
      <c r="H24" s="46">
        <v>35.0</v>
      </c>
      <c r="I24" s="46">
        <v>770.0</v>
      </c>
      <c r="J24" s="46">
        <v>57038.55</v>
      </c>
      <c r="K24" s="46">
        <v>35.0</v>
      </c>
      <c r="L24" s="46">
        <v>350.0</v>
      </c>
      <c r="M24" s="46">
        <v>245.0</v>
      </c>
      <c r="N24" s="46">
        <v>3848.97</v>
      </c>
      <c r="O24" s="46">
        <v>280.0</v>
      </c>
      <c r="P24" s="46">
        <v>280.0</v>
      </c>
      <c r="Q24" s="46">
        <v>595.0</v>
      </c>
      <c r="R24" s="46">
        <v>700.0</v>
      </c>
      <c r="S24" s="46">
        <v>735.0</v>
      </c>
      <c r="T24" s="46">
        <v>175.0</v>
      </c>
      <c r="U24" s="46">
        <v>3901.02</v>
      </c>
      <c r="V24" s="46">
        <v>980.0</v>
      </c>
      <c r="W24" s="46">
        <v>210.0</v>
      </c>
      <c r="X24" s="46">
        <v>630.0</v>
      </c>
      <c r="Y24" s="46">
        <v>490.0</v>
      </c>
      <c r="Z24" s="46">
        <v>385.0</v>
      </c>
      <c r="AA24" s="46">
        <v>1015.0</v>
      </c>
      <c r="AB24" s="46">
        <v>875.0</v>
      </c>
      <c r="AC24" s="46">
        <v>560.0</v>
      </c>
      <c r="AD24" s="46">
        <v>595.0</v>
      </c>
      <c r="AE24" s="46">
        <v>315.0</v>
      </c>
      <c r="AF24" s="46">
        <v>315.0</v>
      </c>
      <c r="AG24" s="46">
        <v>245.0</v>
      </c>
      <c r="AH24" s="46">
        <v>910.0</v>
      </c>
      <c r="AI24" s="46">
        <v>840.0</v>
      </c>
      <c r="AJ24" s="46">
        <v>2903.21</v>
      </c>
      <c r="AK24" s="46">
        <v>1440.0</v>
      </c>
      <c r="AL24" s="46">
        <f>B24+C24+D24+E24+F24+G24+H24+I24+J24+K24+L24+M24+N24+O24+P24+Q24+R24+S24+T24+U24+V24+W24+X24+Y24+Z24+AA24+AB24+AC24+AD24+AE24+AF24+AG24+AH24+AI24+AJ24+AK24</f>
        <v>179716.11</v>
      </c>
    </row>
    <row r="25" spans="1:38" ht="16" outlineLevel="1">
      <c r="A25" s="36" t="s">
        <v>22</v>
      </c>
      <c r="B25" s="45"/>
      <c r="C25" s="45"/>
      <c r="D25" s="46">
        <v>20862.92</v>
      </c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>
        <v>13085.14</v>
      </c>
      <c r="R25" s="45"/>
      <c r="S25" s="46">
        <v>11371.15</v>
      </c>
      <c r="T25" s="45"/>
      <c r="U25" s="45"/>
      <c r="V25" s="45"/>
      <c r="W25" s="46">
        <v>9301.78</v>
      </c>
      <c r="X25" s="45"/>
      <c r="Y25" s="46">
        <v>1743.34</v>
      </c>
      <c r="Z25" s="45"/>
      <c r="AA25" s="46">
        <v>1180.63</v>
      </c>
      <c r="AB25" s="45"/>
      <c r="AC25" s="46">
        <v>27519.02</v>
      </c>
      <c r="AD25" s="46">
        <v>9072.53</v>
      </c>
      <c r="AE25" s="45"/>
      <c r="AF25" s="45"/>
      <c r="AG25" s="45"/>
      <c r="AH25" s="46">
        <v>6280.96</v>
      </c>
      <c r="AI25" s="45"/>
      <c r="AJ25" s="45"/>
      <c r="AK25" s="46">
        <v>6374.83</v>
      </c>
      <c r="AL25" s="46">
        <f>B25+C25+D25+E25+F25+G25+H25+I25+J25+K25+L25+M25+N25+O25+P25+Q25+R25+S25+T25+U25+V25+W25+X25+Y25+Z25+AA25+AB25+AC25+AD25+AE25+AF25+AG25+AH25+AI25+AJ25+AK25</f>
        <v>106792.3</v>
      </c>
    </row>
    <row r="26" spans="1:38" ht="16" outlineLevel="1">
      <c r="A26" s="36" t="s">
        <v>23</v>
      </c>
      <c r="B26" s="45"/>
      <c r="C26" s="45"/>
      <c r="D26" s="45"/>
      <c r="E26" s="45"/>
      <c r="F26" s="46">
        <v>13857.97</v>
      </c>
      <c r="G26" s="45"/>
      <c r="H26" s="45"/>
      <c r="I26" s="45"/>
      <c r="J26" s="45"/>
      <c r="K26" s="45"/>
      <c r="L26" s="46">
        <v>22919.61</v>
      </c>
      <c r="M26" s="46">
        <v>7501.67</v>
      </c>
      <c r="N26" s="45"/>
      <c r="O26" s="45"/>
      <c r="P26" s="45"/>
      <c r="Q26" s="45"/>
      <c r="R26" s="46">
        <v>4258.96</v>
      </c>
      <c r="S26" s="46">
        <v>52804.17</v>
      </c>
      <c r="T26" s="45"/>
      <c r="U26" s="46">
        <v>71741.22</v>
      </c>
      <c r="V26" s="46">
        <v>63788.02</v>
      </c>
      <c r="W26" s="45"/>
      <c r="X26" s="45"/>
      <c r="Y26" s="45"/>
      <c r="Z26" s="45"/>
      <c r="AA26" s="45"/>
      <c r="AB26" s="45"/>
      <c r="AC26" s="45"/>
      <c r="AD26" s="45"/>
      <c r="AE26" s="45"/>
      <c r="AF26" s="46">
        <v>3156.76</v>
      </c>
      <c r="AG26" s="45"/>
      <c r="AH26" s="45"/>
      <c r="AI26" s="46">
        <v>3406.27</v>
      </c>
      <c r="AJ26" s="45"/>
      <c r="AK26" s="46">
        <v>44.0</v>
      </c>
      <c r="AL26" s="46">
        <f>B26+C26+D26+E26+F26+G26+H26+I26+J26+K26+L26+M26+N26+O26+P26+Q26+R26+S26+T26+U26+V26+W26+X26+Y26+Z26+AA26+AB26+AC26+AD26+AE26+AF26+AG26+AH26+AI26+AJ26+AK26</f>
        <v>243478.65</v>
      </c>
    </row>
    <row r="27" spans="1:38" ht="16" outlineLevel="1">
      <c r="A27" s="36" t="s">
        <v>24</v>
      </c>
      <c r="B27" s="46">
        <v>0</v>
      </c>
      <c r="C27" s="46">
        <v>0</v>
      </c>
      <c r="D27" s="46">
        <v>6568.21</v>
      </c>
      <c r="E27" s="46">
        <v>34507.11</v>
      </c>
      <c r="F27" s="46">
        <v>0</v>
      </c>
      <c r="G27" s="46">
        <v>0</v>
      </c>
      <c r="H27" s="46">
        <v>0</v>
      </c>
      <c r="I27" s="46">
        <v>19526.6</v>
      </c>
      <c r="J27" s="46">
        <v>3009.18</v>
      </c>
      <c r="K27" s="46">
        <v>0</v>
      </c>
      <c r="L27" s="46">
        <v>2737.09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2729.0</v>
      </c>
      <c r="X27" s="46">
        <v>2146.3</v>
      </c>
      <c r="Y27" s="46">
        <v>0</v>
      </c>
      <c r="Z27" s="46">
        <v>0</v>
      </c>
      <c r="AA27" s="46">
        <v>0</v>
      </c>
      <c r="AB27" s="46">
        <v>1050.83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13510.63</v>
      </c>
      <c r="AL27" s="46">
        <f>B27+C27+D27+E27+F27+G27+H27+I27+J27+K27+L27+M27+N27+O27+P27+Q27+R27+S27+T27+U27+V27+W27+X27+Y27+Z27+AA27+AB27+AC27+AD27+AE27+AF27+AG27+AH27+AI27+AJ27+AK27</f>
        <v>85784.95000000001</v>
      </c>
    </row>
    <row r="28" spans="1:38" ht="16" outlineLevel="1">
      <c r="A28" s="36" t="s">
        <v>25</v>
      </c>
      <c r="B28" s="46">
        <v>1979.18</v>
      </c>
      <c r="C28" s="46">
        <v>10436.84</v>
      </c>
      <c r="D28" s="46">
        <v>9245.96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>
        <v>2243.91</v>
      </c>
      <c r="Q28" s="45"/>
      <c r="R28" s="45"/>
      <c r="S28" s="45"/>
      <c r="T28" s="45"/>
      <c r="U28" s="46">
        <v>5628.09</v>
      </c>
      <c r="V28" s="45"/>
      <c r="W28" s="45"/>
      <c r="X28" s="45"/>
      <c r="Y28" s="45"/>
      <c r="Z28" s="46">
        <v>18398.08</v>
      </c>
      <c r="AA28" s="45"/>
      <c r="AB28" s="46">
        <v>23382.05</v>
      </c>
      <c r="AC28" s="45"/>
      <c r="AD28" s="45"/>
      <c r="AE28" s="45"/>
      <c r="AF28" s="46">
        <v>6546.52</v>
      </c>
      <c r="AG28" s="45"/>
      <c r="AH28" s="45"/>
      <c r="AI28" s="45"/>
      <c r="AJ28" s="46">
        <v>955.84</v>
      </c>
      <c r="AK28" s="45"/>
      <c r="AL28" s="46">
        <f>B28+C28+D28+E28+F28+G28+H28+I28+J28+K28+L28+M28+N28+O28+P28+Q28+R28+S28+T28+U28+V28+W28+X28+Y28+Z28+AA28+AB28+AC28+AD28+AE28+AF28+AG28+AH28+AI28+AJ28+AK28</f>
        <v>78816.47</v>
      </c>
    </row>
    <row r="29" spans="1:38" ht="16" outlineLevel="1">
      <c r="A29" s="36" t="s">
        <v>26</v>
      </c>
      <c r="B29" s="45"/>
      <c r="C29" s="45"/>
      <c r="D29" s="45"/>
      <c r="E29" s="45"/>
      <c r="F29" s="46">
        <v>11167.08</v>
      </c>
      <c r="G29" s="46">
        <v>6342.14</v>
      </c>
      <c r="H29" s="45"/>
      <c r="I29" s="45"/>
      <c r="J29" s="45"/>
      <c r="K29" s="45"/>
      <c r="L29" s="45"/>
      <c r="M29" s="45"/>
      <c r="N29" s="45"/>
      <c r="O29" s="45"/>
      <c r="P29" s="46">
        <v>1858.14</v>
      </c>
      <c r="Q29" s="45"/>
      <c r="R29" s="45"/>
      <c r="S29" s="45"/>
      <c r="T29" s="45"/>
      <c r="U29" s="45"/>
      <c r="V29" s="45"/>
      <c r="W29" s="45"/>
      <c r="X29" s="45"/>
      <c r="Y29" s="45"/>
      <c r="Z29" s="46">
        <v>1213.05</v>
      </c>
      <c r="AA29" s="45"/>
      <c r="AB29" s="45"/>
      <c r="AC29" s="46">
        <v>996.21</v>
      </c>
      <c r="AD29" s="46">
        <v>3056.72</v>
      </c>
      <c r="AE29" s="45"/>
      <c r="AF29" s="45"/>
      <c r="AG29" s="45"/>
      <c r="AH29" s="45"/>
      <c r="AI29" s="45"/>
      <c r="AJ29" s="45"/>
      <c r="AK29" s="45"/>
      <c r="AL29" s="46">
        <f>B29+C29+D29+E29+F29+G29+H29+I29+J29+K29+L29+M29+N29+O29+P29+Q29+R29+S29+T29+U29+V29+W29+X29+Y29+Z29+AA29+AB29+AC29+AD29+AE29+AF29+AG29+AH29+AI29+AJ29+AK29</f>
        <v>24633.34</v>
      </c>
    </row>
    <row r="30" spans="1:38" ht="16">
      <c r="A30" s="41" t="s">
        <v>27</v>
      </c>
      <c r="B30" s="47">
        <f>B7+B8+B9+B10+B22+B23+B24+B25+B26+B27+B28+B29</f>
        <v>16633.41</v>
      </c>
      <c r="C30" s="47">
        <f>C7+C8+C9+C10+C22+C23+C24+C25+C26+C27+C28+C29</f>
        <v>25336.74</v>
      </c>
      <c r="D30" s="47">
        <f>D7+D8+D9+D10+D22+D23+D24+D25+D26+D27+D28+D29</f>
        <v>42399.63</v>
      </c>
      <c r="E30" s="47">
        <f>E7+E8+E9+E10+E22+E23+E24+E25+E26+E27+E28+E29</f>
        <v>123116.47</v>
      </c>
      <c r="F30" s="47">
        <f>F7+F8+F9+F10+F22+F23+F24+F25+F26+F27+F28+F29</f>
        <v>129221.98</v>
      </c>
      <c r="G30" s="47">
        <f>G7+G8+G9+G10+G22+G23+G24+G25+G26+G27+G28+G29</f>
        <v>32316.75</v>
      </c>
      <c r="H30" s="47">
        <f>H7+H8+H9+H10+H22+H23+H24+H25+H26+H27+H28+H29</f>
        <v>177710.8</v>
      </c>
      <c r="I30" s="47">
        <f>I7+I8+I9+I10+I22+I23+I24+I25+I26+I27+I28+I29</f>
        <v>69909.70000000001</v>
      </c>
      <c r="J30" s="47">
        <f>J7+J8+J9+J10+J22+J23+J24+J25+J26+J27+J28+J29</f>
        <v>148715.4</v>
      </c>
      <c r="K30" s="47">
        <f>K7+K8+K9+K10+K22+K23+K24+K25+K26+K27+K28+K29</f>
        <v>63457.59</v>
      </c>
      <c r="L30" s="47">
        <f>L7+L8+L9+L10+L22+L23+L24+L25+L26+L27+L28+L29</f>
        <v>60423.46000000001</v>
      </c>
      <c r="M30" s="47">
        <f>M7+M8+M9+M10+M22+M23+M24+M25+M26+M27+M28+M29</f>
        <v>19257.769999999997</v>
      </c>
      <c r="N30" s="47">
        <f>N7+N8+N9+N10+N22+N23+N24+N25+N26+N27+N28+N29</f>
        <v>43278.37</v>
      </c>
      <c r="O30" s="47">
        <f>O7+O8+O9+O10+O22+O23+O24+O25+O26+O27+O28+O29</f>
        <v>43767.32</v>
      </c>
      <c r="P30" s="47">
        <f>P7+P8+P9+P10+P22+P23+P24+P25+P26+P27+P28+P29</f>
        <v>34429.270000000004</v>
      </c>
      <c r="Q30" s="47">
        <f>Q7+Q8+Q9+Q10+Q22+Q23+Q24+Q25+Q26+Q27+Q28+Q29</f>
        <v>93425.22</v>
      </c>
      <c r="R30" s="47">
        <f>R7+R8+R9+R10+R22+R23+R24+R25+R26+R27+R28+R29</f>
        <v>60070.48</v>
      </c>
      <c r="S30" s="47">
        <f>S7+S8+S9+S10+S22+S23+S24+S25+S26+S27+S28+S29</f>
        <v>96093.81</v>
      </c>
      <c r="T30" s="47">
        <f>T7+T8+T9+T10+T22+T23+T24+T25+T26+T27+T28+T29</f>
        <v>160994.38999999998</v>
      </c>
      <c r="U30" s="47">
        <f>U7+U8+U9+U10+U22+U23+U24+U25+U26+U27+U28+U29</f>
        <v>116628.59999999999</v>
      </c>
      <c r="V30" s="47">
        <f>V7+V8+V9+V10+V22+V23+V24+V25+V26+V27+V28+V29</f>
        <v>106157.88</v>
      </c>
      <c r="W30" s="47">
        <f>W7+W8+W9+W10+W22+W23+W24+W25+W26+W27+W28+W29</f>
        <v>142088.9</v>
      </c>
      <c r="X30" s="47">
        <f>X7+X8+X9+X10+X22+X23+X24+X25+X26+X27+X28+X29</f>
        <v>55222.46000000001</v>
      </c>
      <c r="Y30" s="47">
        <f>Y7+Y8+Y9+Y10+Y22+Y23+Y24+Y25+Y26+Y27+Y28+Y29</f>
        <v>24166.829999999998</v>
      </c>
      <c r="Z30" s="47">
        <f>Z7+Z8+Z9+Z10+Z22+Z23+Z24+Z25+Z26+Z27+Z28+Z29</f>
        <v>34734.96000000001</v>
      </c>
      <c r="AA30" s="47">
        <f>AA7+AA8+AA9+AA10+AA22+AA23+AA24+AA25+AA26+AA27+AA28+AA29</f>
        <v>46834.27</v>
      </c>
      <c r="AB30" s="47">
        <f>AB7+AB8+AB9+AB10+AB22+AB23+AB24+AB25+AB26+AB27+AB28+AB29</f>
        <v>69427.32</v>
      </c>
      <c r="AC30" s="47">
        <f>AC7+AC8+AC9+AC10+AC22+AC23+AC24+AC25+AC26+AC27+AC28+AC29</f>
        <v>50206.57</v>
      </c>
      <c r="AD30" s="47">
        <f>AD7+AD8+AD9+AD10+AD22+AD23+AD24+AD25+AD26+AD27+AD28+AD29</f>
        <v>117411.65000000001</v>
      </c>
      <c r="AE30" s="47">
        <f>AE7+AE8+AE9+AE10+AE22+AE23+AE24+AE25+AE26+AE27+AE28+AE29</f>
        <v>188881.93</v>
      </c>
      <c r="AF30" s="47">
        <f>AF7+AF8+AF9+AF10+AF22+AF23+AF24+AF25+AF26+AF27+AF28+AF29</f>
        <v>30095.579999999998</v>
      </c>
      <c r="AG30" s="47">
        <f>AG7+AG8+AG9+AG10+AG22+AG23+AG24+AG25+AG26+AG27+AG28+AG29</f>
        <v>69473.48</v>
      </c>
      <c r="AH30" s="47">
        <f>AH7+AH8+AH9+AH10+AH22+AH23+AH24+AH25+AH26+AH27+AH28+AH29</f>
        <v>75660.47000000002</v>
      </c>
      <c r="AI30" s="47">
        <f>AI7+AI8+AI9+AI10+AI22+AI23+AI24+AI25+AI26+AI27+AI28+AI29</f>
        <v>37302.2</v>
      </c>
      <c r="AJ30" s="47">
        <f>AJ7+AJ8+AJ9+AJ10+AJ22+AJ23+AJ24+AJ25+AJ26+AJ27+AJ28+AJ29</f>
        <v>52801.63999999999</v>
      </c>
      <c r="AK30" s="47">
        <f>AK7+AK8+AK9+AK10+AK22+AK23+AK24+AK25+AK26+AK27+AK28+AK29</f>
        <v>51752.49</v>
      </c>
      <c r="AL30" s="48">
        <f>B30+C30+D30+E30+F30+G30+H30+I30+J30+K30+L30+M30+N30+O30+P30+Q30+R30+S30+T30+U30+V30+W30+X30+Y30+Z30+AA30+AB30+AC30+AD30+AE30+AF30+AG30+AH30+AI30+AJ30+AK30</f>
        <v>2709405.790000001</v>
      </c>
    </row>
    <row r="31" spans="1:37" ht="16">
      <c r="A31" s="35" t="s">
        <v>28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 spans="1:38" ht="16" outlineLevel="1">
      <c r="A32" s="36" t="s">
        <v>28</v>
      </c>
      <c r="B32" s="45"/>
      <c r="C32" s="45"/>
      <c r="D32" s="45"/>
      <c r="E32" s="46">
        <v>-210.0</v>
      </c>
      <c r="F32" s="45"/>
      <c r="G32" s="45"/>
      <c r="H32" s="45"/>
      <c r="I32" s="45"/>
      <c r="J32" s="45"/>
      <c r="K32" s="45"/>
      <c r="L32" s="45"/>
      <c r="M32" s="45"/>
      <c r="N32" s="46">
        <v>112.89</v>
      </c>
      <c r="O32" s="45"/>
      <c r="P32" s="45"/>
      <c r="Q32" s="45"/>
      <c r="R32" s="45"/>
      <c r="S32" s="45"/>
      <c r="T32" s="46">
        <v>896.63</v>
      </c>
      <c r="U32" s="45"/>
      <c r="V32" s="45"/>
      <c r="W32" s="45"/>
      <c r="X32" s="46">
        <v>451.21</v>
      </c>
      <c r="Y32" s="46">
        <v>56.83</v>
      </c>
      <c r="Z32" s="46">
        <v>1235.14</v>
      </c>
      <c r="AA32" s="45"/>
      <c r="AB32" s="46">
        <v>1063.82</v>
      </c>
      <c r="AC32" s="45"/>
      <c r="AD32" s="45"/>
      <c r="AE32" s="46">
        <v>349.71</v>
      </c>
      <c r="AF32" s="45"/>
      <c r="AG32" s="46">
        <v>2701.81</v>
      </c>
      <c r="AH32" s="46">
        <v>49.73</v>
      </c>
      <c r="AI32" s="46">
        <v>548.01</v>
      </c>
      <c r="AJ32" s="45"/>
      <c r="AK32" s="45"/>
      <c r="AL32" s="46">
        <f>B32+C32+D32+E32+F32+G32+H32+I32+J32+K32+L32+M32+N32+O32+P32+Q32+R32+S32+T32+U32+V32+W32+X32+Y32+Z32+AA32+AB32+AC32+AD32+AE32+AF32+AG32+AH32+AI32+AJ32+AK32</f>
        <v>7255.779999999999</v>
      </c>
    </row>
    <row r="33" spans="1:38" ht="16">
      <c r="A33" s="41" t="s">
        <v>29</v>
      </c>
      <c r="B33" s="47"/>
      <c r="C33" s="47"/>
      <c r="D33" s="47"/>
      <c r="E33" s="47">
        <f>E32</f>
        <v>-210.0</v>
      </c>
      <c r="F33" s="47"/>
      <c r="G33" s="47"/>
      <c r="H33" s="47"/>
      <c r="I33" s="47"/>
      <c r="J33" s="47"/>
      <c r="K33" s="47"/>
      <c r="L33" s="47"/>
      <c r="M33" s="47"/>
      <c r="N33" s="47">
        <f>N32</f>
        <v>112.89</v>
      </c>
      <c r="O33" s="47"/>
      <c r="P33" s="47"/>
      <c r="Q33" s="47"/>
      <c r="R33" s="47"/>
      <c r="S33" s="47"/>
      <c r="T33" s="47">
        <f>T32</f>
        <v>896.63</v>
      </c>
      <c r="U33" s="47"/>
      <c r="V33" s="47"/>
      <c r="W33" s="47"/>
      <c r="X33" s="47">
        <f>X32</f>
        <v>451.21</v>
      </c>
      <c r="Y33" s="47">
        <f>Y32</f>
        <v>56.83</v>
      </c>
      <c r="Z33" s="47">
        <f>Z32</f>
        <v>1235.14</v>
      </c>
      <c r="AA33" s="47"/>
      <c r="AB33" s="47">
        <f>AB32</f>
        <v>1063.82</v>
      </c>
      <c r="AC33" s="47"/>
      <c r="AD33" s="47"/>
      <c r="AE33" s="47">
        <f>AE32</f>
        <v>349.71</v>
      </c>
      <c r="AF33" s="47"/>
      <c r="AG33" s="47">
        <f>AG32</f>
        <v>2701.81</v>
      </c>
      <c r="AH33" s="47">
        <f>AH32</f>
        <v>49.73</v>
      </c>
      <c r="AI33" s="47">
        <f>AI32</f>
        <v>548.01</v>
      </c>
      <c r="AJ33" s="47"/>
      <c r="AK33" s="47"/>
      <c r="AL33" s="48">
        <f>B33+C33+D33+E33+F33+G33+H33+I33+J33+K33+L33+M33+N33+O33+P33+Q33+R33+S33+T33+U33+V33+W33+X33+Y33+Z33+AA33+AB33+AC33+AD33+AE33+AF33+AG33+AH33+AI33+AJ33+AK33</f>
        <v>7255.779999999999</v>
      </c>
    </row>
    <row r="34" spans="1:38" ht="16">
      <c r="A34" s="41" t="s">
        <v>30</v>
      </c>
      <c r="B34" s="47">
        <f>B30-B33</f>
        <v>16633.41</v>
      </c>
      <c r="C34" s="47">
        <f>C30-C33</f>
        <v>25336.74</v>
      </c>
      <c r="D34" s="47">
        <f>D30-D33</f>
        <v>42399.63</v>
      </c>
      <c r="E34" s="47">
        <f>E30-E33</f>
        <v>123326.47</v>
      </c>
      <c r="F34" s="47">
        <f>F30-F33</f>
        <v>129221.98</v>
      </c>
      <c r="G34" s="47">
        <f>G30-G33</f>
        <v>32316.75</v>
      </c>
      <c r="H34" s="47">
        <f>H30-H33</f>
        <v>177710.8</v>
      </c>
      <c r="I34" s="47">
        <f>I30-I33</f>
        <v>69909.70000000001</v>
      </c>
      <c r="J34" s="47">
        <f>J30-J33</f>
        <v>148715.4</v>
      </c>
      <c r="K34" s="47">
        <f>K30-K33</f>
        <v>63457.59</v>
      </c>
      <c r="L34" s="47">
        <f>L30-L33</f>
        <v>60423.46000000001</v>
      </c>
      <c r="M34" s="47">
        <f>M30-M33</f>
        <v>19257.769999999997</v>
      </c>
      <c r="N34" s="47">
        <f>N30-N33</f>
        <v>43165.48</v>
      </c>
      <c r="O34" s="47">
        <f>O30-O33</f>
        <v>43767.32</v>
      </c>
      <c r="P34" s="47">
        <f>P30-P33</f>
        <v>34429.270000000004</v>
      </c>
      <c r="Q34" s="47">
        <f>Q30-Q33</f>
        <v>93425.22</v>
      </c>
      <c r="R34" s="47">
        <f>R30-R33</f>
        <v>60070.48</v>
      </c>
      <c r="S34" s="47">
        <f>S30-S33</f>
        <v>96093.81</v>
      </c>
      <c r="T34" s="47">
        <f>T30-T33</f>
        <v>160097.75999999998</v>
      </c>
      <c r="U34" s="47">
        <f>U30-U33</f>
        <v>116628.59999999999</v>
      </c>
      <c r="V34" s="47">
        <f>V30-V33</f>
        <v>106157.88</v>
      </c>
      <c r="W34" s="47">
        <f>W30-W33</f>
        <v>142088.9</v>
      </c>
      <c r="X34" s="47">
        <f>X30-X33</f>
        <v>54771.25000000001</v>
      </c>
      <c r="Y34" s="47">
        <f>Y30-Y33</f>
        <v>24109.999999999996</v>
      </c>
      <c r="Z34" s="47">
        <f>Z30-Z33</f>
        <v>33499.82000000001</v>
      </c>
      <c r="AA34" s="47">
        <f>AA30-AA33</f>
        <v>46834.27</v>
      </c>
      <c r="AB34" s="47">
        <f>AB30-AB33</f>
        <v>68363.5</v>
      </c>
      <c r="AC34" s="47">
        <f>AC30-AC33</f>
        <v>50206.57</v>
      </c>
      <c r="AD34" s="47">
        <f>AD30-AD33</f>
        <v>117411.65000000001</v>
      </c>
      <c r="AE34" s="47">
        <f>AE30-AE33</f>
        <v>188532.22</v>
      </c>
      <c r="AF34" s="47">
        <f>AF30-AF33</f>
        <v>30095.579999999998</v>
      </c>
      <c r="AG34" s="47">
        <f>AG30-AG33</f>
        <v>66771.67</v>
      </c>
      <c r="AH34" s="47">
        <f>AH30-AH33</f>
        <v>75610.74000000002</v>
      </c>
      <c r="AI34" s="47">
        <f>AI30-AI33</f>
        <v>36754.189999999995</v>
      </c>
      <c r="AJ34" s="47">
        <f>AJ30-AJ33</f>
        <v>52801.63999999999</v>
      </c>
      <c r="AK34" s="47">
        <f>AK30-AK33</f>
        <v>51752.49</v>
      </c>
      <c r="AL34" s="48">
        <f>B34+C34+D34+E34+F34+G34+H34+I34+J34+K34+L34+M34+N34+O34+P34+Q34+R34+S34+T34+U34+V34+W34+X34+Y34+Z34+AA34+AB34+AC34+AD34+AE34+AF34+AG34+AH34+AI34+AJ34+AK34</f>
        <v>2702150.0100000007</v>
      </c>
    </row>
    <row r="35" spans="1:37" ht="16">
      <c r="A35" s="35" t="s">
        <v>31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 spans="1:38" ht="16" outlineLevel="1">
      <c r="A36" s="36" t="s">
        <v>32</v>
      </c>
      <c r="B36" s="45"/>
      <c r="C36" s="45"/>
      <c r="D36" s="45"/>
      <c r="E36" s="45"/>
      <c r="F36" s="46">
        <v>1497.29</v>
      </c>
      <c r="G36" s="46">
        <v>2421.77</v>
      </c>
      <c r="H36" s="46">
        <v>550.34</v>
      </c>
      <c r="I36" s="45"/>
      <c r="J36" s="45"/>
      <c r="K36" s="46">
        <v>224.37</v>
      </c>
      <c r="L36" s="46">
        <v>1832.41</v>
      </c>
      <c r="M36" s="46">
        <v>221.42</v>
      </c>
      <c r="N36" s="46">
        <v>579.79</v>
      </c>
      <c r="O36" s="45"/>
      <c r="P36" s="46">
        <v>1188.15</v>
      </c>
      <c r="Q36" s="45"/>
      <c r="R36" s="45"/>
      <c r="S36" s="45"/>
      <c r="T36" s="46">
        <v>-445.39</v>
      </c>
      <c r="U36" s="45"/>
      <c r="V36" s="46">
        <v>1122.91</v>
      </c>
      <c r="W36" s="46">
        <v>3330.83</v>
      </c>
      <c r="X36" s="46">
        <v>-71.16</v>
      </c>
      <c r="Y36" s="45"/>
      <c r="Z36" s="45"/>
      <c r="AA36" s="45"/>
      <c r="AB36" s="45"/>
      <c r="AC36" s="46">
        <v>2131.99</v>
      </c>
      <c r="AD36" s="46">
        <v>5274.61</v>
      </c>
      <c r="AE36" s="46">
        <v>681.48</v>
      </c>
      <c r="AF36" s="46">
        <v>524.99</v>
      </c>
      <c r="AG36" s="46">
        <v>110.24</v>
      </c>
      <c r="AH36" s="45"/>
      <c r="AI36" s="45"/>
      <c r="AJ36" s="45"/>
      <c r="AK36" s="46">
        <v>74.86</v>
      </c>
      <c r="AL36" s="46">
        <f>B36+C36+D36+E36+F36+G36+H36+I36+J36+K36+L36+M36+N36+O36+P36+Q36+R36+S36+T36+U36+V36+W36+X36+Y36+Z36+AA36+AB36+AC36+AD36+AE36+AF36+AG36+AH36+AI36+AJ36+AK36</f>
        <v>21250.9</v>
      </c>
    </row>
    <row r="37" spans="1:38" ht="16" outlineLevel="1">
      <c r="A37" s="36" t="s">
        <v>33</v>
      </c>
      <c r="B37" s="46">
        <v>296.23</v>
      </c>
      <c r="C37" s="45"/>
      <c r="D37" s="45"/>
      <c r="E37" s="45"/>
      <c r="F37" s="45"/>
      <c r="G37" s="46">
        <v>947.29</v>
      </c>
      <c r="H37" s="45"/>
      <c r="I37" s="46">
        <v>742.2</v>
      </c>
      <c r="J37" s="46">
        <v>871.83</v>
      </c>
      <c r="K37" s="46">
        <v>3630.02</v>
      </c>
      <c r="L37" s="46">
        <v>1224.43</v>
      </c>
      <c r="M37" s="45"/>
      <c r="N37" s="45"/>
      <c r="O37" s="46">
        <v>816.42</v>
      </c>
      <c r="P37" s="46">
        <v>920.82</v>
      </c>
      <c r="Q37" s="45"/>
      <c r="R37" s="45"/>
      <c r="S37" s="45"/>
      <c r="T37" s="46">
        <v>296.33</v>
      </c>
      <c r="U37" s="46">
        <v>1189.38</v>
      </c>
      <c r="V37" s="46">
        <v>3662.06</v>
      </c>
      <c r="W37" s="45"/>
      <c r="X37" s="46">
        <v>1252.24</v>
      </c>
      <c r="Y37" s="46">
        <v>-280.19</v>
      </c>
      <c r="Z37" s="45"/>
      <c r="AA37" s="46">
        <v>202.85</v>
      </c>
      <c r="AB37" s="46">
        <v>-206.28</v>
      </c>
      <c r="AC37" s="46">
        <v>756.45</v>
      </c>
      <c r="AD37" s="45"/>
      <c r="AE37" s="46">
        <v>-472.1</v>
      </c>
      <c r="AF37" s="46">
        <v>1871.86</v>
      </c>
      <c r="AG37" s="45"/>
      <c r="AH37" s="46">
        <v>1144.55</v>
      </c>
      <c r="AI37" s="46">
        <v>1802.6</v>
      </c>
      <c r="AJ37" s="45"/>
      <c r="AK37" s="46">
        <v>341.48</v>
      </c>
      <c r="AL37" s="46">
        <f>B37+C37+D37+E37+F37+G37+H37+I37+J37+K37+L37+M37+N37+O37+P37+Q37+R37+S37+T37+U37+V37+W37+X37+Y37+Z37+AA37+AB37+AC37+AD37+AE37+AF37+AG37+AH37+AI37+AJ37+AK37</f>
        <v>21010.469999999998</v>
      </c>
    </row>
    <row r="38" spans="1:38" ht="16" outlineLevel="2">
      <c r="A38" s="37" t="s">
        <v>34</v>
      </c>
      <c r="B38" s="46">
        <v>565.18</v>
      </c>
      <c r="C38" s="45"/>
      <c r="D38" s="46">
        <v>526.93</v>
      </c>
      <c r="E38" s="46">
        <v>392.98</v>
      </c>
      <c r="F38" s="46">
        <v>1729.81</v>
      </c>
      <c r="G38" s="46">
        <v>573.5</v>
      </c>
      <c r="H38" s="45"/>
      <c r="I38" s="46">
        <v>649.67</v>
      </c>
      <c r="J38" s="46">
        <v>1659.39</v>
      </c>
      <c r="K38" s="45"/>
      <c r="L38" s="46">
        <v>396.39</v>
      </c>
      <c r="M38" s="45"/>
      <c r="N38" s="45"/>
      <c r="O38" s="46">
        <v>633.77</v>
      </c>
      <c r="P38" s="46">
        <v>1037.22</v>
      </c>
      <c r="Q38" s="46">
        <v>708.48</v>
      </c>
      <c r="R38" s="46">
        <v>612.52</v>
      </c>
      <c r="S38" s="45"/>
      <c r="T38" s="45"/>
      <c r="U38" s="46">
        <v>1596.43</v>
      </c>
      <c r="V38" s="45"/>
      <c r="W38" s="46">
        <v>1511.83</v>
      </c>
      <c r="X38" s="45"/>
      <c r="Y38" s="45"/>
      <c r="Z38" s="46">
        <v>282.41</v>
      </c>
      <c r="AA38" s="45"/>
      <c r="AB38" s="45"/>
      <c r="AC38" s="45"/>
      <c r="AD38" s="45"/>
      <c r="AE38" s="45"/>
      <c r="AF38" s="46">
        <v>15.48</v>
      </c>
      <c r="AG38" s="45"/>
      <c r="AH38" s="46">
        <v>993.09</v>
      </c>
      <c r="AI38" s="46">
        <v>3358.08</v>
      </c>
      <c r="AJ38" s="46">
        <v>1461.04</v>
      </c>
      <c r="AK38" s="46">
        <v>1842.52</v>
      </c>
      <c r="AL38" s="46">
        <f>B38+C38+D38+E38+F38+G38+H38+I38+J38+K38+L38+M38+N38+O38+P38+Q38+R38+S38+T38+U38+V38+W38+X38+Y38+Z38+AA38+AB38+AC38+AD38+AE38+AF38+AG38+AH38+AI38+AJ38+AK38</f>
        <v>20546.720000000005</v>
      </c>
    </row>
    <row r="39" spans="1:38" ht="16" outlineLevel="1">
      <c r="A39" s="40" t="s">
        <v>35</v>
      </c>
      <c r="B39" s="47">
        <f>B37+B38</f>
        <v>861.41</v>
      </c>
      <c r="C39" s="47"/>
      <c r="D39" s="47">
        <f>D37+D38</f>
        <v>526.93</v>
      </c>
      <c r="E39" s="47">
        <f>E37+E38</f>
        <v>392.98</v>
      </c>
      <c r="F39" s="47">
        <f>F37+F38</f>
        <v>1729.81</v>
      </c>
      <c r="G39" s="47">
        <f>G37+G38</f>
        <v>1520.79</v>
      </c>
      <c r="H39" s="47"/>
      <c r="I39" s="47">
        <f>I37+I38</f>
        <v>1391.87</v>
      </c>
      <c r="J39" s="47">
        <f>J37+J38</f>
        <v>2531.2200000000003</v>
      </c>
      <c r="K39" s="47">
        <f>K37+K38</f>
        <v>3630.02</v>
      </c>
      <c r="L39" s="47">
        <f>L37+L38</f>
        <v>1620.8200000000002</v>
      </c>
      <c r="M39" s="47"/>
      <c r="N39" s="47"/>
      <c r="O39" s="47">
        <f>O37+O38</f>
        <v>1450.19</v>
      </c>
      <c r="P39" s="47">
        <f>P37+P38</f>
        <v>1958.04</v>
      </c>
      <c r="Q39" s="47">
        <f>Q37+Q38</f>
        <v>708.48</v>
      </c>
      <c r="R39" s="47">
        <f>R37+R38</f>
        <v>612.52</v>
      </c>
      <c r="S39" s="47"/>
      <c r="T39" s="47">
        <f>T37+T38</f>
        <v>296.33</v>
      </c>
      <c r="U39" s="47">
        <f>U37+U38</f>
        <v>2785.8100000000004</v>
      </c>
      <c r="V39" s="47">
        <f>V37+V38</f>
        <v>3662.06</v>
      </c>
      <c r="W39" s="47">
        <f>W37+W38</f>
        <v>1511.83</v>
      </c>
      <c r="X39" s="47">
        <f>X37+X38</f>
        <v>1252.24</v>
      </c>
      <c r="Y39" s="47">
        <f>Y37+Y38</f>
        <v>-280.19</v>
      </c>
      <c r="Z39" s="47">
        <f>Z37+Z38</f>
        <v>282.41</v>
      </c>
      <c r="AA39" s="47">
        <f>AA37+AA38</f>
        <v>202.85</v>
      </c>
      <c r="AB39" s="47">
        <f>AB37+AB38</f>
        <v>-206.28</v>
      </c>
      <c r="AC39" s="47">
        <f>AC37+AC38</f>
        <v>756.45</v>
      </c>
      <c r="AD39" s="47"/>
      <c r="AE39" s="47">
        <f>AE37+AE38</f>
        <v>-472.1</v>
      </c>
      <c r="AF39" s="47">
        <f>AF37+AF38</f>
        <v>1887.34</v>
      </c>
      <c r="AG39" s="47"/>
      <c r="AH39" s="47">
        <f>AH37+AH38</f>
        <v>2137.64</v>
      </c>
      <c r="AI39" s="47">
        <f>AI37+AI38</f>
        <v>5160.68</v>
      </c>
      <c r="AJ39" s="47">
        <f>AJ37+AJ38</f>
        <v>1461.04</v>
      </c>
      <c r="AK39" s="47">
        <f>AK37+AK38</f>
        <v>2184.0</v>
      </c>
      <c r="AL39" s="48">
        <f>B39+C39+D39+E39+F39+G39+H39+I39+J39+K39+L39+M39+N39+O39+P39+Q39+R39+S39+T39+U39+V39+W39+X39+Y39+Z39+AA39+AB39+AC39+AD39+AE39+AF39+AG39+AH39+AI39+AJ39+AK39</f>
        <v>41557.19000000001</v>
      </c>
    </row>
    <row r="40" spans="1:38" ht="16" outlineLevel="1">
      <c r="A40" s="36" t="s">
        <v>36</v>
      </c>
      <c r="B40" s="45"/>
      <c r="C40" s="45"/>
      <c r="D40" s="45"/>
      <c r="E40" s="45"/>
      <c r="F40" s="45"/>
      <c r="G40" s="46">
        <v>47.27</v>
      </c>
      <c r="H40" s="45"/>
      <c r="I40" s="45"/>
      <c r="J40" s="45"/>
      <c r="K40" s="46">
        <v>2856.16</v>
      </c>
      <c r="L40" s="45"/>
      <c r="M40" s="46">
        <v>808.31</v>
      </c>
      <c r="N40" s="46">
        <v>227.19</v>
      </c>
      <c r="O40" s="46">
        <v>488.28</v>
      </c>
      <c r="P40" s="45"/>
      <c r="Q40" s="45"/>
      <c r="R40" s="45"/>
      <c r="S40" s="45"/>
      <c r="T40" s="45"/>
      <c r="U40" s="46">
        <v>787.7</v>
      </c>
      <c r="V40" s="45"/>
      <c r="W40" s="45"/>
      <c r="X40" s="45"/>
      <c r="Y40" s="46">
        <v>711.53</v>
      </c>
      <c r="Z40" s="46">
        <v>302.23</v>
      </c>
      <c r="AA40" s="46">
        <v>33.45</v>
      </c>
      <c r="AB40" s="45"/>
      <c r="AC40" s="45"/>
      <c r="AD40" s="46">
        <v>1186.56</v>
      </c>
      <c r="AE40" s="46">
        <v>1023.02</v>
      </c>
      <c r="AF40" s="45"/>
      <c r="AG40" s="45"/>
      <c r="AH40" s="46">
        <v>2568.03</v>
      </c>
      <c r="AI40" s="46">
        <v>202.4</v>
      </c>
      <c r="AJ40" s="45"/>
      <c r="AK40" s="45"/>
      <c r="AL40" s="46">
        <f>B40+C40+D40+E40+F40+G40+H40+I40+J40+K40+L40+M40+N40+O40+P40+Q40+R40+S40+T40+U40+V40+W40+X40+Y40+Z40+AA40+AB40+AC40+AD40+AE40+AF40+AG40+AH40+AI40+AJ40+AK40</f>
        <v>11242.130000000001</v>
      </c>
    </row>
    <row r="41" spans="1:38" ht="16" outlineLevel="1">
      <c r="A41" s="36" t="s">
        <v>37</v>
      </c>
      <c r="B41" s="45"/>
      <c r="C41" s="46">
        <v>1767.16</v>
      </c>
      <c r="D41" s="45"/>
      <c r="E41" s="45"/>
      <c r="F41" s="45"/>
      <c r="G41" s="46">
        <v>1978.09</v>
      </c>
      <c r="H41" s="46">
        <v>1159.58</v>
      </c>
      <c r="I41" s="45"/>
      <c r="J41" s="45"/>
      <c r="K41" s="46">
        <v>53.3</v>
      </c>
      <c r="L41" s="46">
        <v>-61.52</v>
      </c>
      <c r="M41" s="46">
        <v>378.87</v>
      </c>
      <c r="N41" s="45"/>
      <c r="O41" s="45"/>
      <c r="P41" s="45"/>
      <c r="Q41" s="45"/>
      <c r="R41" s="46">
        <v>1064.94</v>
      </c>
      <c r="S41" s="46">
        <v>1011.75</v>
      </c>
      <c r="T41" s="46">
        <v>-295.23</v>
      </c>
      <c r="U41" s="45"/>
      <c r="V41" s="46">
        <v>804.33</v>
      </c>
      <c r="W41" s="46">
        <v>477.18</v>
      </c>
      <c r="X41" s="45"/>
      <c r="Y41" s="46">
        <v>857.71</v>
      </c>
      <c r="Z41" s="46">
        <v>382.03</v>
      </c>
      <c r="AA41" s="46">
        <v>927.05</v>
      </c>
      <c r="AB41" s="45"/>
      <c r="AC41" s="46">
        <v>-132.22</v>
      </c>
      <c r="AD41" s="45"/>
      <c r="AE41" s="46">
        <v>1592.77</v>
      </c>
      <c r="AF41" s="45"/>
      <c r="AG41" s="46">
        <v>1176.64</v>
      </c>
      <c r="AH41" s="45"/>
      <c r="AI41" s="46">
        <v>1594.99</v>
      </c>
      <c r="AJ41" s="45"/>
      <c r="AK41" s="46">
        <v>697.32</v>
      </c>
      <c r="AL41" s="46">
        <f>B41+C41+D41+E41+F41+G41+H41+I41+J41+K41+L41+M41+N41+O41+P41+Q41+R41+S41+T41+U41+V41+W41+X41+Y41+Z41+AA41+AB41+AC41+AD41+AE41+AF41+AG41+AH41+AI41+AJ41+AK41</f>
        <v>15434.74</v>
      </c>
    </row>
    <row r="42" spans="1:38" ht="16" outlineLevel="1">
      <c r="A42" s="36" t="s">
        <v>38</v>
      </c>
      <c r="B42" s="45"/>
      <c r="C42" s="45"/>
      <c r="D42" s="46">
        <v>2370.89</v>
      </c>
      <c r="E42" s="45"/>
      <c r="F42" s="45"/>
      <c r="G42" s="46">
        <v>1152.87</v>
      </c>
      <c r="H42" s="45"/>
      <c r="I42" s="46">
        <v>1551.85</v>
      </c>
      <c r="J42" s="45"/>
      <c r="K42" s="46">
        <v>3147.2</v>
      </c>
      <c r="L42" s="46">
        <v>578.83</v>
      </c>
      <c r="M42" s="46">
        <v>677.24</v>
      </c>
      <c r="N42" s="45"/>
      <c r="O42" s="46">
        <v>770.73</v>
      </c>
      <c r="P42" s="46">
        <v>327.72</v>
      </c>
      <c r="Q42" s="46">
        <v>1064.79</v>
      </c>
      <c r="R42" s="46">
        <v>122.06</v>
      </c>
      <c r="S42" s="46">
        <v>850.04</v>
      </c>
      <c r="T42" s="46">
        <v>1608.94</v>
      </c>
      <c r="U42" s="46">
        <v>1289.72</v>
      </c>
      <c r="V42" s="45"/>
      <c r="W42" s="46">
        <v>1386.3</v>
      </c>
      <c r="X42" s="45"/>
      <c r="Y42" s="45"/>
      <c r="Z42" s="45"/>
      <c r="AA42" s="45"/>
      <c r="AB42" s="45"/>
      <c r="AC42" s="45"/>
      <c r="AD42" s="46">
        <v>1200.76</v>
      </c>
      <c r="AE42" s="45"/>
      <c r="AF42" s="46">
        <v>1440.81</v>
      </c>
      <c r="AG42" s="45"/>
      <c r="AH42" s="45"/>
      <c r="AI42" s="46">
        <v>840.16</v>
      </c>
      <c r="AJ42" s="45"/>
      <c r="AK42" s="45"/>
      <c r="AL42" s="46">
        <f>B42+C42+D42+E42+F42+G42+H42+I42+J42+K42+L42+M42+N42+O42+P42+Q42+R42+S42+T42+U42+V42+W42+X42+Y42+Z42+AA42+AB42+AC42+AD42+AE42+AF42+AG42+AH42+AI42+AJ42+AK42</f>
        <v>20380.909999999996</v>
      </c>
    </row>
    <row r="43" spans="1:38" ht="16" outlineLevel="1">
      <c r="A43" s="36" t="s">
        <v>39</v>
      </c>
      <c r="B43" s="45"/>
      <c r="C43" s="46">
        <v>629.71</v>
      </c>
      <c r="D43" s="46">
        <v>1144.58</v>
      </c>
      <c r="E43" s="45"/>
      <c r="F43" s="45"/>
      <c r="G43" s="45"/>
      <c r="H43" s="46">
        <v>935.1</v>
      </c>
      <c r="I43" s="45"/>
      <c r="J43" s="46">
        <v>99.24</v>
      </c>
      <c r="K43" s="45"/>
      <c r="L43" s="46">
        <v>794.73</v>
      </c>
      <c r="M43" s="46">
        <v>970.33</v>
      </c>
      <c r="N43" s="45"/>
      <c r="O43" s="45"/>
      <c r="P43" s="46">
        <v>409.0</v>
      </c>
      <c r="Q43" s="45"/>
      <c r="R43" s="46">
        <v>3234.9</v>
      </c>
      <c r="S43" s="45"/>
      <c r="T43" s="46">
        <v>1790.42</v>
      </c>
      <c r="U43" s="46">
        <v>39.36</v>
      </c>
      <c r="V43" s="45"/>
      <c r="W43" s="46">
        <v>681.94</v>
      </c>
      <c r="X43" s="45"/>
      <c r="Y43" s="46">
        <v>837.01</v>
      </c>
      <c r="Z43" s="45"/>
      <c r="AA43" s="45"/>
      <c r="AB43" s="46">
        <v>568.68</v>
      </c>
      <c r="AC43" s="45"/>
      <c r="AD43" s="46">
        <v>1107.4</v>
      </c>
      <c r="AE43" s="45"/>
      <c r="AF43" s="46">
        <v>1963.61</v>
      </c>
      <c r="AG43" s="45"/>
      <c r="AH43" s="46">
        <v>218.53</v>
      </c>
      <c r="AI43" s="45"/>
      <c r="AJ43" s="45"/>
      <c r="AK43" s="45"/>
      <c r="AL43" s="46">
        <f>B43+C43+D43+E43+F43+G43+H43+I43+J43+K43+L43+M43+N43+O43+P43+Q43+R43+S43+T43+U43+V43+W43+X43+Y43+Z43+AA43+AB43+AC43+AD43+AE43+AF43+AG43+AH43+AI43+AJ43+AK43</f>
        <v>15424.540000000003</v>
      </c>
    </row>
    <row r="44" spans="1:38" ht="16" outlineLevel="1">
      <c r="A44" s="36" t="s">
        <v>40</v>
      </c>
      <c r="B44" s="45"/>
      <c r="C44" s="45"/>
      <c r="D44" s="46">
        <v>-110.71</v>
      </c>
      <c r="E44" s="45"/>
      <c r="F44" s="46">
        <v>1350.45</v>
      </c>
      <c r="G44" s="46">
        <v>244.32</v>
      </c>
      <c r="H44" s="45"/>
      <c r="I44" s="45"/>
      <c r="J44" s="46">
        <v>1526.06</v>
      </c>
      <c r="K44" s="45"/>
      <c r="L44" s="45"/>
      <c r="M44" s="46">
        <v>1167.1</v>
      </c>
      <c r="N44" s="45"/>
      <c r="O44" s="45"/>
      <c r="P44" s="45"/>
      <c r="Q44" s="45"/>
      <c r="R44" s="45"/>
      <c r="S44" s="46">
        <v>1238.04</v>
      </c>
      <c r="T44" s="46">
        <v>50.34</v>
      </c>
      <c r="U44" s="46">
        <v>2528.84</v>
      </c>
      <c r="V44" s="45"/>
      <c r="W44" s="46">
        <v>578.66</v>
      </c>
      <c r="X44" s="45"/>
      <c r="Y44" s="46">
        <v>1493.59</v>
      </c>
      <c r="Z44" s="46">
        <v>814.66</v>
      </c>
      <c r="AA44" s="46">
        <v>1379.58</v>
      </c>
      <c r="AB44" s="45"/>
      <c r="AC44" s="45"/>
      <c r="AD44" s="46">
        <v>1797.53</v>
      </c>
      <c r="AE44" s="45"/>
      <c r="AF44" s="45"/>
      <c r="AG44" s="46">
        <v>1164.52</v>
      </c>
      <c r="AH44" s="45"/>
      <c r="AI44" s="45"/>
      <c r="AJ44" s="46">
        <v>293.35</v>
      </c>
      <c r="AK44" s="46">
        <v>112.0</v>
      </c>
      <c r="AL44" s="46">
        <f>B44+C44+D44+E44+F44+G44+H44+I44+J44+K44+L44+M44+N44+O44+P44+Q44+R44+S44+T44+U44+V44+W44+X44+Y44+Z44+AA44+AB44+AC44+AD44+AE44+AF44+AG44+AH44+AI44+AJ44+AK44</f>
        <v>15628.330000000002</v>
      </c>
    </row>
    <row r="45" spans="1:38" ht="16" outlineLevel="1">
      <c r="A45" s="36" t="s">
        <v>41</v>
      </c>
      <c r="B45" s="45"/>
      <c r="C45" s="45"/>
      <c r="D45" s="45"/>
      <c r="E45" s="46">
        <v>249.02</v>
      </c>
      <c r="F45" s="46">
        <v>628.67</v>
      </c>
      <c r="G45" s="46">
        <v>1184.36</v>
      </c>
      <c r="H45" s="46">
        <v>720.43</v>
      </c>
      <c r="I45" s="45"/>
      <c r="J45" s="45"/>
      <c r="K45" s="46">
        <v>117.93</v>
      </c>
      <c r="L45" s="45"/>
      <c r="M45" s="45"/>
      <c r="N45" s="46">
        <v>227.12</v>
      </c>
      <c r="O45" s="45"/>
      <c r="P45" s="45"/>
      <c r="Q45" s="45"/>
      <c r="R45" s="45"/>
      <c r="S45" s="45"/>
      <c r="T45" s="45"/>
      <c r="U45" s="45"/>
      <c r="V45" s="45"/>
      <c r="W45" s="46">
        <v>731.14</v>
      </c>
      <c r="X45" s="45"/>
      <c r="Y45" s="46">
        <v>380.0</v>
      </c>
      <c r="Z45" s="46">
        <v>360.98</v>
      </c>
      <c r="AA45" s="45"/>
      <c r="AB45" s="46">
        <v>-322.7</v>
      </c>
      <c r="AC45" s="45"/>
      <c r="AD45" s="45"/>
      <c r="AE45" s="45"/>
      <c r="AF45" s="45"/>
      <c r="AG45" s="45"/>
      <c r="AH45" s="46">
        <v>1046.32</v>
      </c>
      <c r="AI45" s="45"/>
      <c r="AJ45" s="46">
        <v>685.32</v>
      </c>
      <c r="AK45" s="46">
        <v>539.11</v>
      </c>
      <c r="AL45" s="46">
        <f>B45+C45+D45+E45+F45+G45+H45+I45+J45+K45+L45+M45+N45+O45+P45+Q45+R45+S45+T45+U45+V45+W45+X45+Y45+Z45+AA45+AB45+AC45+AD45+AE45+AF45+AG45+AH45+AI45+AJ45+AK45</f>
        <v>6547.699999999999</v>
      </c>
    </row>
    <row r="46" spans="1:38" ht="16" outlineLevel="2">
      <c r="A46" s="37" t="s">
        <v>42</v>
      </c>
      <c r="B46" s="46">
        <v>2054.49</v>
      </c>
      <c r="C46" s="45"/>
      <c r="D46" s="45"/>
      <c r="E46" s="46">
        <v>1315.24</v>
      </c>
      <c r="F46" s="45"/>
      <c r="G46" s="45"/>
      <c r="H46" s="45"/>
      <c r="I46" s="45"/>
      <c r="J46" s="45"/>
      <c r="K46" s="46">
        <v>475.85</v>
      </c>
      <c r="L46" s="46">
        <v>384.71</v>
      </c>
      <c r="M46" s="46">
        <v>534.3</v>
      </c>
      <c r="N46" s="46">
        <v>1454.23</v>
      </c>
      <c r="O46" s="46">
        <v>732.43</v>
      </c>
      <c r="P46" s="46">
        <v>1533.87</v>
      </c>
      <c r="Q46" s="45"/>
      <c r="R46" s="46">
        <v>786.09</v>
      </c>
      <c r="S46" s="45"/>
      <c r="T46" s="45"/>
      <c r="U46" s="46">
        <v>2295.63</v>
      </c>
      <c r="V46" s="46">
        <v>503.06</v>
      </c>
      <c r="W46" s="45"/>
      <c r="X46" s="46">
        <v>807.29</v>
      </c>
      <c r="Y46" s="46">
        <v>2727.09</v>
      </c>
      <c r="Z46" s="45"/>
      <c r="AA46" s="45"/>
      <c r="AB46" s="45"/>
      <c r="AC46" s="45"/>
      <c r="AD46" s="46">
        <v>2485.4</v>
      </c>
      <c r="AE46" s="45"/>
      <c r="AF46" s="46">
        <v>99.54</v>
      </c>
      <c r="AG46" s="46">
        <v>273.79</v>
      </c>
      <c r="AH46" s="46">
        <v>240.57</v>
      </c>
      <c r="AI46" s="46">
        <v>530.08</v>
      </c>
      <c r="AJ46" s="45"/>
      <c r="AK46" s="46">
        <v>1611.32</v>
      </c>
      <c r="AL46" s="46">
        <f>B46+C46+D46+E46+F46+G46+H46+I46+J46+K46+L46+M46+N46+O46+P46+Q46+R46+S46+T46+U46+V46+W46+X46+Y46+Z46+AA46+AB46+AC46+AD46+AE46+AF46+AG46+AH46+AI46+AJ46+AK46</f>
        <v>20844.980000000003</v>
      </c>
    </row>
    <row r="47" spans="1:38" ht="16" outlineLevel="1">
      <c r="A47" s="40" t="s">
        <v>43</v>
      </c>
      <c r="B47" s="47">
        <f>B45+B46</f>
        <v>2054.49</v>
      </c>
      <c r="C47" s="47"/>
      <c r="D47" s="47"/>
      <c r="E47" s="47">
        <f>E45+E46</f>
        <v>1564.26</v>
      </c>
      <c r="F47" s="47">
        <f>F45+F46</f>
        <v>628.67</v>
      </c>
      <c r="G47" s="47">
        <f>G45+G46</f>
        <v>1184.36</v>
      </c>
      <c r="H47" s="47">
        <f>H45+H46</f>
        <v>720.43</v>
      </c>
      <c r="I47" s="47"/>
      <c r="J47" s="47"/>
      <c r="K47" s="47">
        <f>K45+K46</f>
        <v>593.78</v>
      </c>
      <c r="L47" s="47">
        <f>L45+L46</f>
        <v>384.71</v>
      </c>
      <c r="M47" s="47">
        <f>M45+M46</f>
        <v>534.3</v>
      </c>
      <c r="N47" s="47">
        <f>N45+N46</f>
        <v>1681.35</v>
      </c>
      <c r="O47" s="47">
        <f>O45+O46</f>
        <v>732.43</v>
      </c>
      <c r="P47" s="47">
        <f>P45+P46</f>
        <v>1533.87</v>
      </c>
      <c r="Q47" s="47"/>
      <c r="R47" s="47">
        <f>R45+R46</f>
        <v>786.09</v>
      </c>
      <c r="S47" s="47"/>
      <c r="T47" s="47"/>
      <c r="U47" s="47">
        <f>U45+U46</f>
        <v>2295.63</v>
      </c>
      <c r="V47" s="47">
        <f>V45+V46</f>
        <v>503.06</v>
      </c>
      <c r="W47" s="47">
        <f>W45+W46</f>
        <v>731.14</v>
      </c>
      <c r="X47" s="47">
        <f>X45+X46</f>
        <v>807.29</v>
      </c>
      <c r="Y47" s="47">
        <f>Y45+Y46</f>
        <v>3107.09</v>
      </c>
      <c r="Z47" s="47">
        <f>Z45+Z46</f>
        <v>360.98</v>
      </c>
      <c r="AA47" s="47"/>
      <c r="AB47" s="47">
        <f>AB45+AB46</f>
        <v>-322.7</v>
      </c>
      <c r="AC47" s="47"/>
      <c r="AD47" s="47">
        <f>AD45+AD46</f>
        <v>2485.4</v>
      </c>
      <c r="AE47" s="47"/>
      <c r="AF47" s="47">
        <f>AF45+AF46</f>
        <v>99.54</v>
      </c>
      <c r="AG47" s="47">
        <f>AG45+AG46</f>
        <v>273.79</v>
      </c>
      <c r="AH47" s="47">
        <f>AH45+AH46</f>
        <v>1286.8899999999999</v>
      </c>
      <c r="AI47" s="47">
        <f>AI45+AI46</f>
        <v>530.08</v>
      </c>
      <c r="AJ47" s="47">
        <f>AJ45+AJ46</f>
        <v>685.32</v>
      </c>
      <c r="AK47" s="47">
        <f>AK45+AK46</f>
        <v>2150.43</v>
      </c>
      <c r="AL47" s="48">
        <f>B47+C47+D47+E47+F47+G47+H47+I47+J47+K47+L47+M47+N47+O47+P47+Q47+R47+S47+T47+U47+V47+W47+X47+Y47+Z47+AA47+AB47+AC47+AD47+AE47+AF47+AG47+AH47+AI47+AJ47+AK47</f>
        <v>27392.680000000004</v>
      </c>
    </row>
    <row r="48" spans="1:38" ht="16" outlineLevel="1">
      <c r="A48" s="36" t="s">
        <v>44</v>
      </c>
      <c r="B48" s="46">
        <v>46.42</v>
      </c>
      <c r="C48" s="46">
        <v>1565.66</v>
      </c>
      <c r="D48" s="45"/>
      <c r="E48" s="45"/>
      <c r="F48" s="45"/>
      <c r="G48" s="45"/>
      <c r="H48" s="46">
        <v>-336.12</v>
      </c>
      <c r="I48" s="45"/>
      <c r="J48" s="45"/>
      <c r="K48" s="45"/>
      <c r="L48" s="45"/>
      <c r="M48" s="46">
        <v>129.05</v>
      </c>
      <c r="N48" s="46">
        <v>633.03</v>
      </c>
      <c r="O48" s="45"/>
      <c r="P48" s="45"/>
      <c r="Q48" s="46">
        <v>907.12</v>
      </c>
      <c r="R48" s="45"/>
      <c r="S48" s="46">
        <v>4458.74</v>
      </c>
      <c r="T48" s="46">
        <v>1949.86</v>
      </c>
      <c r="U48" s="45"/>
      <c r="V48" s="46">
        <v>282.24</v>
      </c>
      <c r="W48" s="46">
        <v>986.51</v>
      </c>
      <c r="X48" s="45"/>
      <c r="Y48" s="45"/>
      <c r="Z48" s="45"/>
      <c r="AA48" s="45"/>
      <c r="AB48" s="46">
        <v>369.53</v>
      </c>
      <c r="AC48" s="46">
        <v>24.7</v>
      </c>
      <c r="AD48" s="45"/>
      <c r="AE48" s="45"/>
      <c r="AF48" s="45"/>
      <c r="AG48" s="45"/>
      <c r="AH48" s="46">
        <v>69.78</v>
      </c>
      <c r="AI48" s="46">
        <v>1355.67</v>
      </c>
      <c r="AJ48" s="46">
        <v>1505.29</v>
      </c>
      <c r="AK48" s="46">
        <v>2376.2</v>
      </c>
      <c r="AL48" s="46">
        <f>B48+C48+D48+E48+F48+G48+H48+I48+J48+K48+L48+M48+N48+O48+P48+Q48+R48+S48+T48+U48+V48+W48+X48+Y48+Z48+AA48+AB48+AC48+AD48+AE48+AF48+AG48+AH48+AI48+AJ48+AK48</f>
        <v>16323.680000000004</v>
      </c>
    </row>
    <row r="49" spans="1:38" ht="16" outlineLevel="2">
      <c r="A49" s="37" t="s">
        <v>45</v>
      </c>
      <c r="B49" s="45"/>
      <c r="C49" s="46">
        <v>1099.84</v>
      </c>
      <c r="D49" s="45"/>
      <c r="E49" s="45"/>
      <c r="F49" s="45"/>
      <c r="G49" s="46">
        <v>2872.9</v>
      </c>
      <c r="H49" s="45"/>
      <c r="I49" s="45"/>
      <c r="J49" s="46">
        <v>118.78</v>
      </c>
      <c r="K49" s="46">
        <v>406.97</v>
      </c>
      <c r="L49" s="46">
        <v>1532.28</v>
      </c>
      <c r="M49" s="45"/>
      <c r="N49" s="45"/>
      <c r="O49" s="46">
        <v>160.92</v>
      </c>
      <c r="P49" s="46">
        <v>1238.36</v>
      </c>
      <c r="Q49" s="45"/>
      <c r="R49" s="46">
        <v>124.5</v>
      </c>
      <c r="S49" s="45"/>
      <c r="T49" s="45"/>
      <c r="U49" s="45"/>
      <c r="V49" s="46">
        <v>170.29</v>
      </c>
      <c r="W49" s="46">
        <v>2065.06</v>
      </c>
      <c r="X49" s="46">
        <v>512.61</v>
      </c>
      <c r="Y49" s="45"/>
      <c r="Z49" s="46">
        <v>-290.09</v>
      </c>
      <c r="AA49" s="46">
        <v>51.27</v>
      </c>
      <c r="AB49" s="46">
        <v>1744.6</v>
      </c>
      <c r="AC49" s="45"/>
      <c r="AD49" s="45"/>
      <c r="AE49" s="46">
        <v>158.05</v>
      </c>
      <c r="AF49" s="45"/>
      <c r="AG49" s="45"/>
      <c r="AH49" s="46">
        <v>1177.05</v>
      </c>
      <c r="AI49" s="46">
        <v>531.53</v>
      </c>
      <c r="AJ49" s="46">
        <v>451.06</v>
      </c>
      <c r="AK49" s="45"/>
      <c r="AL49" s="46">
        <f>B49+C49+D49+E49+F49+G49+H49+I49+J49+K49+L49+M49+N49+O49+P49+Q49+R49+S49+T49+U49+V49+W49+X49+Y49+Z49+AA49+AB49+AC49+AD49+AE49+AF49+AG49+AH49+AI49+AJ49+AK49</f>
        <v>14125.98</v>
      </c>
    </row>
    <row r="50" spans="1:38" ht="16" outlineLevel="3">
      <c r="A50" s="38" t="s">
        <v>16</v>
      </c>
      <c r="B50" s="45"/>
      <c r="C50" s="45"/>
      <c r="D50" s="46">
        <v>825.05</v>
      </c>
      <c r="E50" s="45"/>
      <c r="F50" s="45"/>
      <c r="G50" s="45"/>
      <c r="H50" s="45"/>
      <c r="I50" s="46">
        <v>1240.38</v>
      </c>
      <c r="J50" s="46">
        <v>365.16</v>
      </c>
      <c r="K50" s="45"/>
      <c r="L50" s="45"/>
      <c r="M50" s="45"/>
      <c r="N50" s="45"/>
      <c r="O50" s="46">
        <v>241.96</v>
      </c>
      <c r="P50" s="46">
        <v>551.76</v>
      </c>
      <c r="Q50" s="45"/>
      <c r="R50" s="45"/>
      <c r="S50" s="46">
        <v>2296.47</v>
      </c>
      <c r="T50" s="45"/>
      <c r="U50" s="46">
        <v>559.89</v>
      </c>
      <c r="V50" s="45"/>
      <c r="W50" s="45"/>
      <c r="X50" s="46">
        <v>69.85</v>
      </c>
      <c r="Y50" s="45"/>
      <c r="Z50" s="45"/>
      <c r="AA50" s="46">
        <v>-0.44</v>
      </c>
      <c r="AB50" s="45"/>
      <c r="AC50" s="45"/>
      <c r="AD50" s="46">
        <v>165.22</v>
      </c>
      <c r="AE50" s="45"/>
      <c r="AF50" s="46">
        <v>190.5</v>
      </c>
      <c r="AG50" s="46">
        <v>1606.52</v>
      </c>
      <c r="AH50" s="46">
        <v>2153.79</v>
      </c>
      <c r="AI50" s="45"/>
      <c r="AJ50" s="46">
        <v>719.55</v>
      </c>
      <c r="AK50" s="46">
        <v>1210.1</v>
      </c>
      <c r="AL50" s="46">
        <f>B50+C50+D50+E50+F50+G50+H50+I50+J50+K50+L50+M50+N50+O50+P50+Q50+R50+S50+T50+U50+V50+W50+X50+Y50+Z50+AA50+AB50+AC50+AD50+AE50+AF50+AG50+AH50+AI50+AJ50+AK50</f>
        <v>12195.76</v>
      </c>
    </row>
    <row r="51" spans="1:38" ht="16" outlineLevel="3">
      <c r="A51" s="38" t="s">
        <v>46</v>
      </c>
      <c r="B51" s="45"/>
      <c r="C51" s="45"/>
      <c r="D51" s="45"/>
      <c r="E51" s="46">
        <v>2009.11</v>
      </c>
      <c r="F51" s="46">
        <v>1253.4</v>
      </c>
      <c r="G51" s="45"/>
      <c r="H51" s="45"/>
      <c r="I51" s="46">
        <v>1544.6</v>
      </c>
      <c r="J51" s="46">
        <v>850.29</v>
      </c>
      <c r="K51" s="45"/>
      <c r="L51" s="45"/>
      <c r="M51" s="46">
        <v>714.74</v>
      </c>
      <c r="N51" s="46">
        <v>1200.7</v>
      </c>
      <c r="O51" s="45"/>
      <c r="P51" s="45"/>
      <c r="Q51" s="46">
        <v>453.05</v>
      </c>
      <c r="R51" s="46">
        <v>894.54</v>
      </c>
      <c r="S51" s="46">
        <v>2192.46</v>
      </c>
      <c r="T51" s="46">
        <v>424.42</v>
      </c>
      <c r="U51" s="45"/>
      <c r="V51" s="45"/>
      <c r="W51" s="45"/>
      <c r="X51" s="45"/>
      <c r="Y51" s="45"/>
      <c r="Z51" s="46">
        <v>2109.29</v>
      </c>
      <c r="AA51" s="46">
        <v>419.87</v>
      </c>
      <c r="AB51" s="46">
        <v>1461.98</v>
      </c>
      <c r="AC51" s="45"/>
      <c r="AD51" s="46">
        <v>185.66</v>
      </c>
      <c r="AE51" s="45"/>
      <c r="AF51" s="45"/>
      <c r="AG51" s="45"/>
      <c r="AH51" s="46">
        <v>-155.47</v>
      </c>
      <c r="AI51" s="45"/>
      <c r="AJ51" s="45"/>
      <c r="AK51" s="46">
        <v>302.17</v>
      </c>
      <c r="AL51" s="46">
        <f>B51+C51+D51+E51+F51+G51+H51+I51+J51+K51+L51+M51+N51+O51+P51+Q51+R51+S51+T51+U51+V51+W51+X51+Y51+Z51+AA51+AB51+AC51+AD51+AE51+AF51+AG51+AH51+AI51+AJ51+AK51</f>
        <v>15860.81</v>
      </c>
    </row>
    <row r="52" spans="1:38" ht="16" outlineLevel="2">
      <c r="A52" s="39" t="s">
        <v>47</v>
      </c>
      <c r="B52" s="47"/>
      <c r="C52" s="47">
        <f>C49+C50+C51</f>
        <v>1099.84</v>
      </c>
      <c r="D52" s="47">
        <f>D49+D50+D51</f>
        <v>825.05</v>
      </c>
      <c r="E52" s="47">
        <f>E49+E50+E51</f>
        <v>2009.11</v>
      </c>
      <c r="F52" s="47">
        <f>F49+F50+F51</f>
        <v>1253.4</v>
      </c>
      <c r="G52" s="47">
        <f>G49+G50+G51</f>
        <v>2872.9</v>
      </c>
      <c r="H52" s="47"/>
      <c r="I52" s="47">
        <f>I49+I50+I51</f>
        <v>2784.98</v>
      </c>
      <c r="J52" s="47">
        <f>J49+J50+J51</f>
        <v>1334.23</v>
      </c>
      <c r="K52" s="47">
        <f>K49+K50+K51</f>
        <v>406.97</v>
      </c>
      <c r="L52" s="47">
        <f>L49+L50+L51</f>
        <v>1532.28</v>
      </c>
      <c r="M52" s="47">
        <f>M49+M50+M51</f>
        <v>714.74</v>
      </c>
      <c r="N52" s="47">
        <f>N49+N50+N51</f>
        <v>1200.7</v>
      </c>
      <c r="O52" s="47">
        <f>O49+O50+O51</f>
        <v>402.88</v>
      </c>
      <c r="P52" s="47">
        <f>P49+P50+P51</f>
        <v>1790.12</v>
      </c>
      <c r="Q52" s="47">
        <f>Q49+Q50+Q51</f>
        <v>453.05</v>
      </c>
      <c r="R52" s="47">
        <f>R49+R50+R51</f>
        <v>1019.04</v>
      </c>
      <c r="S52" s="47">
        <f>S49+S50+S51</f>
        <v>4488.93</v>
      </c>
      <c r="T52" s="47">
        <f>T49+T50+T51</f>
        <v>424.42</v>
      </c>
      <c r="U52" s="47">
        <f>U49+U50+U51</f>
        <v>559.89</v>
      </c>
      <c r="V52" s="47">
        <f>V49+V50+V51</f>
        <v>170.29</v>
      </c>
      <c r="W52" s="47">
        <f>W49+W50+W51</f>
        <v>2065.06</v>
      </c>
      <c r="X52" s="47">
        <f>X49+X50+X51</f>
        <v>582.46</v>
      </c>
      <c r="Y52" s="47"/>
      <c r="Z52" s="47">
        <f>Z49+Z50+Z51</f>
        <v>1819.2</v>
      </c>
      <c r="AA52" s="47">
        <f>AA49+AA50+AA51</f>
        <v>470.7</v>
      </c>
      <c r="AB52" s="47">
        <f>AB49+AB50+AB51</f>
        <v>3206.58</v>
      </c>
      <c r="AC52" s="47"/>
      <c r="AD52" s="47">
        <f>AD49+AD50+AD51</f>
        <v>350.88</v>
      </c>
      <c r="AE52" s="47">
        <f>AE49+AE50+AE51</f>
        <v>158.05</v>
      </c>
      <c r="AF52" s="47">
        <f>AF49+AF50+AF51</f>
        <v>190.5</v>
      </c>
      <c r="AG52" s="47">
        <f>AG49+AG50+AG51</f>
        <v>1606.52</v>
      </c>
      <c r="AH52" s="47">
        <f>AH49+AH50+AH51</f>
        <v>3175.3700000000003</v>
      </c>
      <c r="AI52" s="47">
        <f>AI49+AI50+AI51</f>
        <v>531.53</v>
      </c>
      <c r="AJ52" s="47">
        <f>AJ49+AJ50+AJ51</f>
        <v>1170.61</v>
      </c>
      <c r="AK52" s="47">
        <f>AK49+AK50+AK51</f>
        <v>1512.27</v>
      </c>
      <c r="AL52" s="48">
        <f>B52+C52+D52+E52+F52+G52+H52+I52+J52+K52+L52+M52+N52+O52+P52+Q52+R52+S52+T52+U52+V52+W52+X52+Y52+Z52+AA52+AB52+AC52+AD52+AE52+AF52+AG52+AH52+AI52+AJ52+AK52</f>
        <v>42182.549999999996</v>
      </c>
    </row>
    <row r="53" spans="1:38" ht="16" outlineLevel="2">
      <c r="A53" s="37" t="s">
        <v>40</v>
      </c>
      <c r="B53" s="46">
        <v>-257.9</v>
      </c>
      <c r="C53" s="45"/>
      <c r="D53" s="45"/>
      <c r="E53" s="46">
        <v>1591.49</v>
      </c>
      <c r="F53" s="46">
        <v>-87.07</v>
      </c>
      <c r="G53" s="45"/>
      <c r="H53" s="46">
        <v>171.62</v>
      </c>
      <c r="I53" s="45"/>
      <c r="J53" s="45"/>
      <c r="K53" s="46">
        <v>2619.54</v>
      </c>
      <c r="L53" s="46">
        <v>-250.46</v>
      </c>
      <c r="M53" s="46">
        <v>413.07</v>
      </c>
      <c r="N53" s="46">
        <v>187.55</v>
      </c>
      <c r="O53" s="45"/>
      <c r="P53" s="45"/>
      <c r="Q53" s="46">
        <v>1245.73</v>
      </c>
      <c r="R53" s="45"/>
      <c r="S53" s="45"/>
      <c r="T53" s="45"/>
      <c r="U53" s="45"/>
      <c r="V53" s="45"/>
      <c r="W53" s="46">
        <v>811.24</v>
      </c>
      <c r="X53" s="45"/>
      <c r="Y53" s="46">
        <v>4456.47</v>
      </c>
      <c r="Z53" s="45"/>
      <c r="AA53" s="45"/>
      <c r="AB53" s="45"/>
      <c r="AC53" s="46">
        <v>1169.33</v>
      </c>
      <c r="AD53" s="45"/>
      <c r="AE53" s="45"/>
      <c r="AF53" s="45"/>
      <c r="AG53" s="45"/>
      <c r="AH53" s="46">
        <v>1818.41</v>
      </c>
      <c r="AI53" s="45"/>
      <c r="AJ53" s="45"/>
      <c r="AK53" s="46">
        <v>521.85</v>
      </c>
      <c r="AL53" s="46">
        <f>B53+C53+D53+E53+F53+G53+H53+I53+J53+K53+L53+M53+N53+O53+P53+Q53+R53+S53+T53+U53+V53+W53+X53+Y53+Z53+AA53+AB53+AC53+AD53+AE53+AF53+AG53+AH53+AI53+AJ53+AK53</f>
        <v>14410.869999999999</v>
      </c>
    </row>
    <row r="54" spans="1:38" ht="16" outlineLevel="2">
      <c r="A54" s="37" t="s">
        <v>9</v>
      </c>
      <c r="B54" s="45"/>
      <c r="C54" s="45"/>
      <c r="D54" s="46">
        <v>1751.65</v>
      </c>
      <c r="E54" s="46">
        <v>328.93</v>
      </c>
      <c r="F54" s="45"/>
      <c r="G54" s="45"/>
      <c r="H54" s="46">
        <v>1268.13</v>
      </c>
      <c r="I54" s="45"/>
      <c r="J54" s="46">
        <v>76.33</v>
      </c>
      <c r="K54" s="46">
        <v>-414.06</v>
      </c>
      <c r="L54" s="46">
        <v>2931.89</v>
      </c>
      <c r="M54" s="45"/>
      <c r="N54" s="45"/>
      <c r="O54" s="45"/>
      <c r="P54" s="45"/>
      <c r="Q54" s="46">
        <v>1896.22</v>
      </c>
      <c r="R54" s="45"/>
      <c r="S54" s="45"/>
      <c r="T54" s="45"/>
      <c r="U54" s="45"/>
      <c r="V54" s="45"/>
      <c r="W54" s="46">
        <v>-460.64</v>
      </c>
      <c r="X54" s="46">
        <v>541.46</v>
      </c>
      <c r="Y54" s="46">
        <v>105.6</v>
      </c>
      <c r="Z54" s="45"/>
      <c r="AA54" s="45"/>
      <c r="AB54" s="46">
        <v>1105.82</v>
      </c>
      <c r="AC54" s="46">
        <v>327.8</v>
      </c>
      <c r="AD54" s="45"/>
      <c r="AE54" s="46">
        <v>1638.32</v>
      </c>
      <c r="AF54" s="46">
        <v>1305.2</v>
      </c>
      <c r="AG54" s="45"/>
      <c r="AH54" s="45"/>
      <c r="AI54" s="46">
        <v>1371.44</v>
      </c>
      <c r="AJ54" s="46">
        <v>2633.2</v>
      </c>
      <c r="AK54" s="45"/>
      <c r="AL54" s="46">
        <f>B54+C54+D54+E54+F54+G54+H54+I54+J54+K54+L54+M54+N54+O54+P54+Q54+R54+S54+T54+U54+V54+W54+X54+Y54+Z54+AA54+AB54+AC54+AD54+AE54+AF54+AG54+AH54+AI54+AJ54+AK54</f>
        <v>16407.29</v>
      </c>
    </row>
    <row r="55" spans="1:38" ht="16" outlineLevel="3">
      <c r="A55" s="38" t="s">
        <v>10</v>
      </c>
      <c r="B55" s="45"/>
      <c r="C55" s="45"/>
      <c r="D55" s="45"/>
      <c r="E55" s="46">
        <v>-300.3</v>
      </c>
      <c r="F55" s="45"/>
      <c r="G55" s="45"/>
      <c r="H55" s="45"/>
      <c r="I55" s="46">
        <v>906.39</v>
      </c>
      <c r="J55" s="46">
        <v>339.02</v>
      </c>
      <c r="K55" s="46">
        <v>1498.53</v>
      </c>
      <c r="L55" s="45"/>
      <c r="M55" s="45"/>
      <c r="N55" s="46">
        <v>1085.48</v>
      </c>
      <c r="O55" s="45"/>
      <c r="P55" s="46">
        <v>336.2</v>
      </c>
      <c r="Q55" s="45"/>
      <c r="R55" s="46">
        <v>777.75</v>
      </c>
      <c r="S55" s="45"/>
      <c r="T55" s="45"/>
      <c r="U55" s="45"/>
      <c r="V55" s="45"/>
      <c r="W55" s="45"/>
      <c r="X55" s="46">
        <v>1029.97</v>
      </c>
      <c r="Y55" s="45"/>
      <c r="Z55" s="46">
        <v>101.13</v>
      </c>
      <c r="AA55" s="46">
        <v>710.66</v>
      </c>
      <c r="AB55" s="45"/>
      <c r="AC55" s="45"/>
      <c r="AD55" s="46">
        <v>177.95</v>
      </c>
      <c r="AE55" s="46">
        <v>1447.89</v>
      </c>
      <c r="AF55" s="45"/>
      <c r="AG55" s="46">
        <v>2300.44</v>
      </c>
      <c r="AH55" s="45"/>
      <c r="AI55" s="45"/>
      <c r="AJ55" s="46">
        <v>2434.1</v>
      </c>
      <c r="AK55" s="46">
        <v>191.64</v>
      </c>
      <c r="AL55" s="46">
        <f>B55+C55+D55+E55+F55+G55+H55+I55+J55+K55+L55+M55+N55+O55+P55+Q55+R55+S55+T55+U55+V55+W55+X55+Y55+Z55+AA55+AB55+AC55+AD55+AE55+AF55+AG55+AH55+AI55+AJ55+AK55</f>
        <v>13036.85</v>
      </c>
    </row>
    <row r="56" spans="1:38" ht="16" outlineLevel="3">
      <c r="A56" s="38" t="s">
        <v>48</v>
      </c>
      <c r="B56" s="45"/>
      <c r="C56" s="45"/>
      <c r="D56" s="45"/>
      <c r="E56" s="45"/>
      <c r="F56" s="45"/>
      <c r="G56" s="45"/>
      <c r="H56" s="45"/>
      <c r="I56" s="45"/>
      <c r="J56" s="45"/>
      <c r="K56" s="46">
        <v>164.73</v>
      </c>
      <c r="L56" s="45"/>
      <c r="M56" s="45"/>
      <c r="N56" s="45"/>
      <c r="O56" s="46">
        <v>-190.58</v>
      </c>
      <c r="P56" s="45"/>
      <c r="Q56" s="46">
        <v>2076.61</v>
      </c>
      <c r="R56" s="46">
        <v>111.33</v>
      </c>
      <c r="S56" s="46">
        <v>501.17</v>
      </c>
      <c r="T56" s="45"/>
      <c r="U56" s="45"/>
      <c r="V56" s="45"/>
      <c r="W56" s="46">
        <v>1994.88</v>
      </c>
      <c r="X56" s="45"/>
      <c r="Y56" s="46">
        <v>1221.24</v>
      </c>
      <c r="Z56" s="45"/>
      <c r="AA56" s="45"/>
      <c r="AB56" s="45"/>
      <c r="AC56" s="46">
        <v>1008.82</v>
      </c>
      <c r="AD56" s="46">
        <v>4800.49</v>
      </c>
      <c r="AE56" s="45"/>
      <c r="AF56" s="45"/>
      <c r="AG56" s="46">
        <v>376.23</v>
      </c>
      <c r="AH56" s="45"/>
      <c r="AI56" s="46">
        <v>716.22</v>
      </c>
      <c r="AJ56" s="46">
        <v>797.81</v>
      </c>
      <c r="AK56" s="46">
        <v>442.11</v>
      </c>
      <c r="AL56" s="46">
        <f>B56+C56+D56+E56+F56+G56+H56+I56+J56+K56+L56+M56+N56+O56+P56+Q56+R56+S56+T56+U56+V56+W56+X56+Y56+Z56+AA56+AB56+AC56+AD56+AE56+AF56+AG56+AH56+AI56+AJ56+AK56</f>
        <v>14021.059999999998</v>
      </c>
    </row>
    <row r="57" spans="1:38" ht="16" outlineLevel="3">
      <c r="A57" s="38" t="s">
        <v>12</v>
      </c>
      <c r="B57" s="45"/>
      <c r="C57" s="46">
        <v>93.16</v>
      </c>
      <c r="D57" s="46">
        <v>809.38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6">
        <v>340.33</v>
      </c>
      <c r="R57" s="46">
        <v>-310.67</v>
      </c>
      <c r="S57" s="45"/>
      <c r="T57" s="46">
        <v>2987.43</v>
      </c>
      <c r="U57" s="45"/>
      <c r="V57" s="46">
        <v>2674.88</v>
      </c>
      <c r="W57" s="45"/>
      <c r="X57" s="46">
        <v>637.15</v>
      </c>
      <c r="Y57" s="45"/>
      <c r="Z57" s="46">
        <v>1397.52</v>
      </c>
      <c r="AA57" s="45"/>
      <c r="AB57" s="45"/>
      <c r="AC57" s="46">
        <v>2672.47</v>
      </c>
      <c r="AD57" s="46">
        <v>1636.82</v>
      </c>
      <c r="AE57" s="46">
        <v>852.4</v>
      </c>
      <c r="AF57" s="46">
        <v>165.87</v>
      </c>
      <c r="AG57" s="45"/>
      <c r="AH57" s="46">
        <v>62.49</v>
      </c>
      <c r="AI57" s="46">
        <v>644.11</v>
      </c>
      <c r="AJ57" s="46">
        <v>1247.45</v>
      </c>
      <c r="AK57" s="46">
        <v>82.45</v>
      </c>
      <c r="AL57" s="46">
        <f>B57+C57+D57+E57+F57+G57+H57+I57+J57+K57+L57+M57+N57+O57+P57+Q57+R57+S57+T57+U57+V57+W57+X57+Y57+Z57+AA57+AB57+AC57+AD57+AE57+AF57+AG57+AH57+AI57+AJ57+AK57</f>
        <v>15993.240000000002</v>
      </c>
    </row>
    <row r="58" spans="1:38" ht="16" outlineLevel="3">
      <c r="A58" s="38" t="s">
        <v>13</v>
      </c>
      <c r="B58" s="45"/>
      <c r="C58" s="45"/>
      <c r="D58" s="45"/>
      <c r="E58" s="45"/>
      <c r="F58" s="45"/>
      <c r="G58" s="45"/>
      <c r="H58" s="45"/>
      <c r="I58" s="45"/>
      <c r="J58" s="46">
        <v>904.03</v>
      </c>
      <c r="K58" s="46">
        <v>1628.85</v>
      </c>
      <c r="L58" s="45"/>
      <c r="M58" s="45"/>
      <c r="N58" s="45"/>
      <c r="O58" s="45"/>
      <c r="P58" s="46">
        <v>902.56</v>
      </c>
      <c r="Q58" s="46">
        <v>1316.1</v>
      </c>
      <c r="R58" s="45"/>
      <c r="S58" s="46">
        <v>2820.24</v>
      </c>
      <c r="T58" s="46">
        <v>1168.56</v>
      </c>
      <c r="U58" s="45"/>
      <c r="V58" s="46">
        <v>35.65</v>
      </c>
      <c r="W58" s="45"/>
      <c r="X58" s="46">
        <v>459.78</v>
      </c>
      <c r="Y58" s="46">
        <v>1491.49</v>
      </c>
      <c r="Z58" s="45"/>
      <c r="AA58" s="45"/>
      <c r="AB58" s="46">
        <v>107.31</v>
      </c>
      <c r="AC58" s="46">
        <v>2266.73</v>
      </c>
      <c r="AD58" s="46">
        <v>5884.64</v>
      </c>
      <c r="AE58" s="46">
        <v>540.58</v>
      </c>
      <c r="AF58" s="45"/>
      <c r="AG58" s="46">
        <v>2688.52</v>
      </c>
      <c r="AH58" s="46">
        <v>563.22</v>
      </c>
      <c r="AI58" s="46">
        <v>1102.65</v>
      </c>
      <c r="AJ58" s="46">
        <v>204.13</v>
      </c>
      <c r="AK58" s="46">
        <v>806.13</v>
      </c>
      <c r="AL58" s="46">
        <f>B58+C58+D58+E58+F58+G58+H58+I58+J58+K58+L58+M58+N58+O58+P58+Q58+R58+S58+T58+U58+V58+W58+X58+Y58+Z58+AA58+AB58+AC58+AD58+AE58+AF58+AG58+AH58+AI58+AJ58+AK58</f>
        <v>24891.170000000006</v>
      </c>
    </row>
    <row r="59" spans="1:38" ht="16" outlineLevel="2">
      <c r="A59" s="39" t="s">
        <v>14</v>
      </c>
      <c r="B59" s="47"/>
      <c r="C59" s="47">
        <f>C54+C55+C56+C57+C58</f>
        <v>93.16</v>
      </c>
      <c r="D59" s="47">
        <f>D54+D55+D56+D57+D58</f>
        <v>2561.03</v>
      </c>
      <c r="E59" s="47">
        <f>E54+E55+E56+E57+E58</f>
        <v>28.629999999999995</v>
      </c>
      <c r="F59" s="47"/>
      <c r="G59" s="47"/>
      <c r="H59" s="47">
        <f>H54+H55+H56+H57+H58</f>
        <v>1268.13</v>
      </c>
      <c r="I59" s="47">
        <f>I54+I55+I56+I57+I58</f>
        <v>906.39</v>
      </c>
      <c r="J59" s="47">
        <f>J54+J55+J56+J57+J58</f>
        <v>1319.3799999999999</v>
      </c>
      <c r="K59" s="47">
        <f>K54+K55+K56+K57+K58</f>
        <v>2878.05</v>
      </c>
      <c r="L59" s="47">
        <f>L54+L55+L56+L57+L58</f>
        <v>2931.89</v>
      </c>
      <c r="M59" s="47"/>
      <c r="N59" s="47">
        <f>N54+N55+N56+N57+N58</f>
        <v>1085.48</v>
      </c>
      <c r="O59" s="47">
        <f>O54+O55+O56+O57+O58</f>
        <v>-190.58</v>
      </c>
      <c r="P59" s="47">
        <f>P54+P55+P56+P57+P58</f>
        <v>1238.76</v>
      </c>
      <c r="Q59" s="47">
        <f>Q54+Q55+Q56+Q57+Q58</f>
        <v>5629.26</v>
      </c>
      <c r="R59" s="47">
        <f>R54+R55+R56+R57+R58</f>
        <v>578.4100000000001</v>
      </c>
      <c r="S59" s="47">
        <f>S54+S55+S56+S57+S58</f>
        <v>3321.41</v>
      </c>
      <c r="T59" s="47">
        <f>T54+T55+T56+T57+T58</f>
        <v>4155.99</v>
      </c>
      <c r="U59" s="47"/>
      <c r="V59" s="47">
        <f>V54+V55+V56+V57+V58</f>
        <v>2710.53</v>
      </c>
      <c r="W59" s="47">
        <f>W54+W55+W56+W57+W58</f>
        <v>1534.2400000000002</v>
      </c>
      <c r="X59" s="47">
        <f>X54+X55+X56+X57+X58</f>
        <v>2668.3599999999997</v>
      </c>
      <c r="Y59" s="47">
        <f>Y54+Y55+Y56+Y57+Y58</f>
        <v>2818.33</v>
      </c>
      <c r="Z59" s="47">
        <f>Z54+Z55+Z56+Z57+Z58</f>
        <v>1498.65</v>
      </c>
      <c r="AA59" s="47">
        <f>AA54+AA55+AA56+AA57+AA58</f>
        <v>710.66</v>
      </c>
      <c r="AB59" s="47">
        <f>AB54+AB55+AB56+AB57+AB58</f>
        <v>1213.1299999999999</v>
      </c>
      <c r="AC59" s="47">
        <f>AC54+AC55+AC56+AC57+AC58</f>
        <v>6275.82</v>
      </c>
      <c r="AD59" s="47">
        <f>AD54+AD55+AD56+AD57+AD58</f>
        <v>12499.9</v>
      </c>
      <c r="AE59" s="47">
        <f>AE54+AE55+AE56+AE57+AE58</f>
        <v>4479.1900000000005</v>
      </c>
      <c r="AF59" s="47">
        <f>AF54+AF55+AF56+AF57+AF58</f>
        <v>1471.0700000000002</v>
      </c>
      <c r="AG59" s="47">
        <f>AG54+AG55+AG56+AG57+AG58</f>
        <v>5365.1900000000005</v>
      </c>
      <c r="AH59" s="47">
        <f>AH54+AH55+AH56+AH57+AH58</f>
        <v>625.71</v>
      </c>
      <c r="AI59" s="47">
        <f>AI54+AI55+AI56+AI57+AI58</f>
        <v>3834.42</v>
      </c>
      <c r="AJ59" s="47">
        <f>AJ54+AJ55+AJ56+AJ57+AJ58</f>
        <v>7316.689999999999</v>
      </c>
      <c r="AK59" s="47">
        <f>AK54+AK55+AK56+AK57+AK58</f>
        <v>1522.33</v>
      </c>
      <c r="AL59" s="48">
        <f>B59+C59+D59+E59+F59+G59+H59+I59+J59+K59+L59+M59+N59+O59+P59+Q59+R59+S59+T59+U59+V59+W59+X59+Y59+Z59+AA59+AB59+AC59+AD59+AE59+AF59+AG59+AH59+AI59+AJ59+AK59</f>
        <v>84349.61000000002</v>
      </c>
    </row>
    <row r="60" spans="1:38" ht="16" outlineLevel="2">
      <c r="A60" s="37" t="s">
        <v>49</v>
      </c>
      <c r="B60" s="46">
        <v>120.55</v>
      </c>
      <c r="C60" s="46">
        <v>-474.8</v>
      </c>
      <c r="D60" s="46">
        <v>833.67</v>
      </c>
      <c r="E60" s="45"/>
      <c r="F60" s="45"/>
      <c r="G60" s="46">
        <v>1145.15</v>
      </c>
      <c r="H60" s="46">
        <v>1618.02</v>
      </c>
      <c r="I60" s="46">
        <v>381.37</v>
      </c>
      <c r="J60" s="46">
        <v>1257.7</v>
      </c>
      <c r="K60" s="46">
        <v>107.15</v>
      </c>
      <c r="L60" s="45"/>
      <c r="M60" s="46">
        <v>54.42</v>
      </c>
      <c r="N60" s="46">
        <v>118.92</v>
      </c>
      <c r="O60" s="46">
        <v>1957.94</v>
      </c>
      <c r="P60" s="45"/>
      <c r="Q60" s="45"/>
      <c r="R60" s="45"/>
      <c r="S60" s="46">
        <v>1678.91</v>
      </c>
      <c r="T60" s="46">
        <v>1723.63</v>
      </c>
      <c r="U60" s="46">
        <v>446.53</v>
      </c>
      <c r="V60" s="46">
        <v>-108.41</v>
      </c>
      <c r="W60" s="45"/>
      <c r="X60" s="46">
        <v>1318.26</v>
      </c>
      <c r="Y60" s="46">
        <v>1260.97</v>
      </c>
      <c r="Z60" s="46">
        <v>484.52</v>
      </c>
      <c r="AA60" s="46">
        <v>1051.02</v>
      </c>
      <c r="AB60" s="45"/>
      <c r="AC60" s="46">
        <v>1673.2</v>
      </c>
      <c r="AD60" s="46">
        <v>668.54</v>
      </c>
      <c r="AE60" s="46">
        <v>1565.0</v>
      </c>
      <c r="AF60" s="46">
        <v>1571.91</v>
      </c>
      <c r="AG60" s="45"/>
      <c r="AH60" s="45"/>
      <c r="AI60" s="46">
        <v>308.66</v>
      </c>
      <c r="AJ60" s="45"/>
      <c r="AK60" s="46">
        <v>2214.26</v>
      </c>
      <c r="AL60" s="46">
        <f>B60+C60+D60+E60+F60+G60+H60+I60+J60+K60+L60+M60+N60+O60+P60+Q60+R60+S60+T60+U60+V60+W60+X60+Y60+Z60+AA60+AB60+AC60+AD60+AE60+AF60+AG60+AH60+AI60+AJ60+AK60</f>
        <v>22977.090000000004</v>
      </c>
    </row>
    <row r="61" spans="1:38" ht="16" outlineLevel="1">
      <c r="A61" s="40" t="s">
        <v>50</v>
      </c>
      <c r="B61" s="47">
        <f>B48+B52+B53+B59+B60</f>
        <v>-90.92999999999996</v>
      </c>
      <c r="C61" s="47">
        <f>C48+C52+C53+C59+C60</f>
        <v>2283.8599999999997</v>
      </c>
      <c r="D61" s="47">
        <f>D48+D52+D53+D59+D60</f>
        <v>4219.75</v>
      </c>
      <c r="E61" s="47">
        <f>E48+E52+E53+E59+E60</f>
        <v>3629.23</v>
      </c>
      <c r="F61" s="47">
        <f>F48+F52+F53+F59+F60</f>
        <v>1166.3300000000002</v>
      </c>
      <c r="G61" s="47">
        <f>G48+G52+G53+G59+G60</f>
        <v>4018.05</v>
      </c>
      <c r="H61" s="47">
        <f>H48+H52+H53+H59+H60</f>
        <v>2721.65</v>
      </c>
      <c r="I61" s="47">
        <f>I48+I52+I53+I59+I60</f>
        <v>4072.74</v>
      </c>
      <c r="J61" s="47">
        <f>J48+J52+J53+J59+J60</f>
        <v>3911.3099999999995</v>
      </c>
      <c r="K61" s="47">
        <f>K48+K52+K53+K59+K60</f>
        <v>6011.71</v>
      </c>
      <c r="L61" s="47">
        <f>L48+L52+L53+L59+L60</f>
        <v>4213.71</v>
      </c>
      <c r="M61" s="47">
        <f>M48+M52+M53+M59+M60</f>
        <v>1311.28</v>
      </c>
      <c r="N61" s="47">
        <f>N48+N52+N53+N59+N60</f>
        <v>3225.6800000000003</v>
      </c>
      <c r="O61" s="47">
        <f>O48+O52+O53+O59+O60</f>
        <v>2170.2400000000002</v>
      </c>
      <c r="P61" s="47">
        <f>P48+P52+P53+P59+P60</f>
        <v>3028.88</v>
      </c>
      <c r="Q61" s="47">
        <f>Q48+Q52+Q53+Q59+Q60</f>
        <v>8235.16</v>
      </c>
      <c r="R61" s="47">
        <f>R48+R52+R53+R59+R60</f>
        <v>1597.45</v>
      </c>
      <c r="S61" s="47">
        <f>S48+S52+S53+S59+S60</f>
        <v>13947.99</v>
      </c>
      <c r="T61" s="47">
        <f>T48+T52+T53+T59+T60</f>
        <v>8253.9</v>
      </c>
      <c r="U61" s="47">
        <f>U48+U52+U53+U59+U60</f>
        <v>1006.42</v>
      </c>
      <c r="V61" s="47">
        <f>V48+V52+V53+V59+V60</f>
        <v>3054.6500000000005</v>
      </c>
      <c r="W61" s="47">
        <f>W48+W52+W53+W59+W60</f>
        <v>5397.049999999999</v>
      </c>
      <c r="X61" s="47">
        <f>X48+X52+X53+X59+X60</f>
        <v>4569.08</v>
      </c>
      <c r="Y61" s="47">
        <f>Y48+Y52+Y53+Y59+Y60</f>
        <v>8535.77</v>
      </c>
      <c r="Z61" s="47">
        <f>Z48+Z52+Z53+Z59+Z60</f>
        <v>3802.3700000000003</v>
      </c>
      <c r="AA61" s="47">
        <f>AA48+AA52+AA53+AA59+AA60</f>
        <v>2232.38</v>
      </c>
      <c r="AB61" s="47">
        <f>AB48+AB52+AB53+AB59+AB60</f>
        <v>4789.24</v>
      </c>
      <c r="AC61" s="47">
        <f>AC48+AC52+AC53+AC59+AC60</f>
        <v>9143.05</v>
      </c>
      <c r="AD61" s="47">
        <f>AD48+AD52+AD53+AD59+AD60</f>
        <v>13519.32</v>
      </c>
      <c r="AE61" s="47">
        <f>AE48+AE52+AE53+AE59+AE60</f>
        <v>6202.240000000001</v>
      </c>
      <c r="AF61" s="47">
        <f>AF48+AF52+AF53+AF59+AF60</f>
        <v>3233.4800000000005</v>
      </c>
      <c r="AG61" s="47">
        <f>AG48+AG52+AG53+AG59+AG60</f>
        <v>6971.710000000001</v>
      </c>
      <c r="AH61" s="47">
        <f>AH48+AH52+AH53+AH59+AH60</f>
        <v>5689.27</v>
      </c>
      <c r="AI61" s="47">
        <f>AI48+AI52+AI53+AI59+AI60</f>
        <v>6030.28</v>
      </c>
      <c r="AJ61" s="47">
        <f>AJ48+AJ52+AJ53+AJ59+AJ60</f>
        <v>9992.589999999998</v>
      </c>
      <c r="AK61" s="47">
        <f>AK48+AK52+AK53+AK59+AK60</f>
        <v>8146.91</v>
      </c>
      <c r="AL61" s="48">
        <f>B61+C61+D61+E61+F61+G61+H61+I61+J61+K61+L61+M61+N61+O61+P61+Q61+R61+S61+T61+U61+V61+W61+X61+Y61+Z61+AA61+AB61+AC61+AD61+AE61+AF61+AG61+AH61+AI61+AJ61+AK61</f>
        <v>180243.8</v>
      </c>
    </row>
    <row r="62" spans="1:38" ht="16" outlineLevel="1">
      <c r="A62" s="36" t="s">
        <v>51</v>
      </c>
      <c r="B62" s="45"/>
      <c r="C62" s="46">
        <v>137.5</v>
      </c>
      <c r="D62" s="46">
        <v>1168.01</v>
      </c>
      <c r="E62" s="45"/>
      <c r="F62" s="46">
        <v>1075.63</v>
      </c>
      <c r="G62" s="45"/>
      <c r="H62" s="46">
        <v>1190.91</v>
      </c>
      <c r="I62" s="45"/>
      <c r="J62" s="46">
        <v>644.95</v>
      </c>
      <c r="K62" s="45"/>
      <c r="L62" s="45"/>
      <c r="M62" s="46">
        <v>1475.57</v>
      </c>
      <c r="N62" s="45"/>
      <c r="O62" s="46">
        <v>50.4</v>
      </c>
      <c r="P62" s="46">
        <v>973.95</v>
      </c>
      <c r="Q62" s="46">
        <v>1970.49</v>
      </c>
      <c r="R62" s="45"/>
      <c r="S62" s="46">
        <v>2487.56</v>
      </c>
      <c r="T62" s="46">
        <v>2531.5</v>
      </c>
      <c r="U62" s="46">
        <v>3762.7</v>
      </c>
      <c r="V62" s="45"/>
      <c r="W62" s="46">
        <v>236.6</v>
      </c>
      <c r="X62" s="46">
        <v>767.26</v>
      </c>
      <c r="Y62" s="45"/>
      <c r="Z62" s="46">
        <v>128.53</v>
      </c>
      <c r="AA62" s="46">
        <v>1316.88</v>
      </c>
      <c r="AB62" s="45"/>
      <c r="AC62" s="45"/>
      <c r="AD62" s="46">
        <v>1224.3</v>
      </c>
      <c r="AE62" s="45"/>
      <c r="AF62" s="46">
        <v>1272.47</v>
      </c>
      <c r="AG62" s="45"/>
      <c r="AH62" s="45"/>
      <c r="AI62" s="45"/>
      <c r="AJ62" s="45"/>
      <c r="AK62" s="46">
        <v>497.2</v>
      </c>
      <c r="AL62" s="46">
        <f>B62+C62+D62+E62+F62+G62+H62+I62+J62+K62+L62+M62+N62+O62+P62+Q62+R62+S62+T62+U62+V62+W62+X62+Y62+Z62+AA62+AB62+AC62+AD62+AE62+AF62+AG62+AH62+AI62+AJ62+AK62</f>
        <v>22912.409999999996</v>
      </c>
    </row>
    <row r="63" spans="1:38" ht="16" outlineLevel="2">
      <c r="A63" s="37" t="s">
        <v>52</v>
      </c>
      <c r="B63" s="46">
        <v>1205.19</v>
      </c>
      <c r="C63" s="46">
        <v>1996.48</v>
      </c>
      <c r="D63" s="45"/>
      <c r="E63" s="45"/>
      <c r="F63" s="45"/>
      <c r="G63" s="45"/>
      <c r="H63" s="46">
        <v>858.87</v>
      </c>
      <c r="I63" s="46">
        <v>1221.24</v>
      </c>
      <c r="J63" s="46">
        <v>2414.64</v>
      </c>
      <c r="K63" s="46">
        <v>385.99</v>
      </c>
      <c r="L63" s="46">
        <v>575.81</v>
      </c>
      <c r="M63" s="46">
        <v>652.45</v>
      </c>
      <c r="N63" s="46">
        <v>179.96</v>
      </c>
      <c r="O63" s="45"/>
      <c r="P63" s="45"/>
      <c r="Q63" s="45"/>
      <c r="R63" s="45"/>
      <c r="S63" s="45"/>
      <c r="T63" s="46">
        <v>753.63</v>
      </c>
      <c r="U63" s="45"/>
      <c r="V63" s="46">
        <v>2679.42</v>
      </c>
      <c r="W63" s="45"/>
      <c r="X63" s="45"/>
      <c r="Y63" s="46">
        <v>311.29</v>
      </c>
      <c r="Z63" s="46">
        <v>643.29</v>
      </c>
      <c r="AA63" s="45"/>
      <c r="AB63" s="45"/>
      <c r="AC63" s="45"/>
      <c r="AD63" s="45"/>
      <c r="AE63" s="46">
        <v>3867.53</v>
      </c>
      <c r="AF63" s="45"/>
      <c r="AG63" s="45"/>
      <c r="AH63" s="45"/>
      <c r="AI63" s="46">
        <v>2202.4</v>
      </c>
      <c r="AJ63" s="45"/>
      <c r="AK63" s="46">
        <v>2124.93</v>
      </c>
      <c r="AL63" s="46">
        <f>B63+C63+D63+E63+F63+G63+H63+I63+J63+K63+L63+M63+N63+O63+P63+Q63+R63+S63+T63+U63+V63+W63+X63+Y63+Z63+AA63+AB63+AC63+AD63+AE63+AF63+AG63+AH63+AI63+AJ63+AK63</f>
        <v>22073.12</v>
      </c>
    </row>
    <row r="64" spans="1:38" ht="16" outlineLevel="2">
      <c r="A64" s="37" t="s">
        <v>53</v>
      </c>
      <c r="B64" s="46">
        <v>708.2</v>
      </c>
      <c r="C64" s="46">
        <v>1592.56</v>
      </c>
      <c r="D64" s="45"/>
      <c r="E64" s="45"/>
      <c r="F64" s="45"/>
      <c r="G64" s="46">
        <v>69.35</v>
      </c>
      <c r="H64" s="46">
        <v>-465.13</v>
      </c>
      <c r="I64" s="46">
        <v>-493.07</v>
      </c>
      <c r="J64" s="45"/>
      <c r="K64" s="46">
        <v>278.68</v>
      </c>
      <c r="L64" s="46">
        <v>293.92</v>
      </c>
      <c r="M64" s="45"/>
      <c r="N64" s="45"/>
      <c r="O64" s="45"/>
      <c r="P64" s="46">
        <v>1852.41</v>
      </c>
      <c r="Q64" s="46">
        <v>-380.77</v>
      </c>
      <c r="R64" s="46">
        <v>4283.86</v>
      </c>
      <c r="S64" s="46">
        <v>2504.7</v>
      </c>
      <c r="T64" s="45"/>
      <c r="U64" s="46">
        <v>1340.18</v>
      </c>
      <c r="V64" s="45"/>
      <c r="W64" s="46">
        <v>1713.68</v>
      </c>
      <c r="X64" s="46">
        <v>627.17</v>
      </c>
      <c r="Y64" s="46">
        <v>180.91</v>
      </c>
      <c r="Z64" s="46">
        <v>210.27</v>
      </c>
      <c r="AA64" s="46">
        <v>3090.89</v>
      </c>
      <c r="AB64" s="45"/>
      <c r="AC64" s="45"/>
      <c r="AD64" s="46">
        <v>340.99</v>
      </c>
      <c r="AE64" s="46">
        <v>417.25</v>
      </c>
      <c r="AF64" s="46">
        <v>-136.69</v>
      </c>
      <c r="AG64" s="46">
        <v>679.99</v>
      </c>
      <c r="AH64" s="45"/>
      <c r="AI64" s="45"/>
      <c r="AJ64" s="46">
        <v>1712.7</v>
      </c>
      <c r="AK64" s="45"/>
      <c r="AL64" s="46">
        <f>B64+C64+D64+E64+F64+G64+H64+I64+J64+K64+L64+M64+N64+O64+P64+Q64+R64+S64+T64+U64+V64+W64+X64+Y64+Z64+AA64+AB64+AC64+AD64+AE64+AF64+AG64+AH64+AI64+AJ64+AK64</f>
        <v>20422.050000000007</v>
      </c>
    </row>
    <row r="65" spans="1:38" ht="16" outlineLevel="2">
      <c r="A65" s="37" t="s">
        <v>54</v>
      </c>
      <c r="B65" s="45"/>
      <c r="C65" s="45"/>
      <c r="D65" s="45"/>
      <c r="E65" s="46">
        <v>2178.72</v>
      </c>
      <c r="F65" s="45"/>
      <c r="G65" s="45"/>
      <c r="H65" s="45"/>
      <c r="I65" s="45"/>
      <c r="J65" s="46">
        <v>1212.54</v>
      </c>
      <c r="K65" s="45"/>
      <c r="L65" s="46">
        <v>139.15</v>
      </c>
      <c r="M65" s="45"/>
      <c r="N65" s="45"/>
      <c r="O65" s="46">
        <v>1386.2</v>
      </c>
      <c r="P65" s="46">
        <v>105.79</v>
      </c>
      <c r="Q65" s="45"/>
      <c r="R65" s="46">
        <v>1410.31</v>
      </c>
      <c r="S65" s="45"/>
      <c r="T65" s="45"/>
      <c r="U65" s="45"/>
      <c r="V65" s="46">
        <v>536.19</v>
      </c>
      <c r="W65" s="45"/>
      <c r="X65" s="45"/>
      <c r="Y65" s="46">
        <v>1893.45</v>
      </c>
      <c r="Z65" s="45"/>
      <c r="AA65" s="45"/>
      <c r="AB65" s="46">
        <v>1872.48</v>
      </c>
      <c r="AC65" s="45"/>
      <c r="AD65" s="46">
        <v>1246.66</v>
      </c>
      <c r="AE65" s="45"/>
      <c r="AF65" s="45"/>
      <c r="AG65" s="46">
        <v>300.0</v>
      </c>
      <c r="AH65" s="45"/>
      <c r="AI65" s="46">
        <v>-223.06</v>
      </c>
      <c r="AJ65" s="46">
        <v>2644.99</v>
      </c>
      <c r="AK65" s="46">
        <v>100.0</v>
      </c>
      <c r="AL65" s="46">
        <f>B65+C65+D65+E65+F65+G65+H65+I65+J65+K65+L65+M65+N65+O65+P65+Q65+R65+S65+T65+U65+V65+W65+X65+Y65+Z65+AA65+AB65+AC65+AD65+AE65+AF65+AG65+AH65+AI65+AJ65+AK65</f>
        <v>14803.42</v>
      </c>
    </row>
    <row r="66" spans="1:38" ht="16" outlineLevel="1">
      <c r="A66" s="40" t="s">
        <v>55</v>
      </c>
      <c r="B66" s="47">
        <f>B62+B63+B64+B65</f>
        <v>1913.39</v>
      </c>
      <c r="C66" s="47">
        <f>C62+C63+C64+C65</f>
        <v>3726.54</v>
      </c>
      <c r="D66" s="47">
        <f>D62+D63+D64+D65</f>
        <v>1168.01</v>
      </c>
      <c r="E66" s="47">
        <f>E62+E63+E64+E65</f>
        <v>2178.72</v>
      </c>
      <c r="F66" s="47">
        <f>F62+F63+F64+F65</f>
        <v>1075.63</v>
      </c>
      <c r="G66" s="47">
        <f>G62+G63+G64+G65</f>
        <v>69.35</v>
      </c>
      <c r="H66" s="47">
        <f>H62+H63+H64+H65</f>
        <v>1584.65</v>
      </c>
      <c r="I66" s="47">
        <f>I62+I63+I64+I65</f>
        <v>728.1700000000001</v>
      </c>
      <c r="J66" s="47">
        <f>J62+J63+J64+J65</f>
        <v>4272.13</v>
      </c>
      <c r="K66" s="47">
        <f>K62+K63+K64+K65</f>
        <v>664.6700000000001</v>
      </c>
      <c r="L66" s="47">
        <f>L62+L63+L64+L65</f>
        <v>1008.88</v>
      </c>
      <c r="M66" s="47">
        <f>M62+M63+M64+M65</f>
        <v>2128.02</v>
      </c>
      <c r="N66" s="47">
        <f>N62+N63+N64+N65</f>
        <v>179.96</v>
      </c>
      <c r="O66" s="47">
        <f>O62+O63+O64+O65</f>
        <v>1436.6000000000001</v>
      </c>
      <c r="P66" s="47">
        <f>P62+P63+P64+P65</f>
        <v>2932.15</v>
      </c>
      <c r="Q66" s="47">
        <f>Q62+Q63+Q64+Q65</f>
        <v>1589.72</v>
      </c>
      <c r="R66" s="47">
        <f>R62+R63+R64+R65</f>
        <v>5694.17</v>
      </c>
      <c r="S66" s="47">
        <f>S62+S63+S64+S65</f>
        <v>4992.26</v>
      </c>
      <c r="T66" s="47">
        <f>T62+T63+T64+T65</f>
        <v>3285.13</v>
      </c>
      <c r="U66" s="47">
        <f>U62+U63+U64+U65</f>
        <v>5102.88</v>
      </c>
      <c r="V66" s="47">
        <f>V62+V63+V64+V65</f>
        <v>3215.61</v>
      </c>
      <c r="W66" s="47">
        <f>W62+W63+W64+W65</f>
        <v>1950.28</v>
      </c>
      <c r="X66" s="47">
        <f>X62+X63+X64+X65</f>
        <v>1394.4299999999998</v>
      </c>
      <c r="Y66" s="47">
        <f>Y62+Y63+Y64+Y65</f>
        <v>2385.65</v>
      </c>
      <c r="Z66" s="47">
        <f>Z62+Z63+Z64+Z65</f>
        <v>982.0899999999999</v>
      </c>
      <c r="AA66" s="47">
        <f>AA62+AA63+AA64+AA65</f>
        <v>4407.77</v>
      </c>
      <c r="AB66" s="47">
        <f>AB62+AB63+AB64+AB65</f>
        <v>1872.48</v>
      </c>
      <c r="AC66" s="47"/>
      <c r="AD66" s="47">
        <f>AD62+AD63+AD64+AD65</f>
        <v>2811.95</v>
      </c>
      <c r="AE66" s="47">
        <f>AE62+AE63+AE64+AE65</f>
        <v>4284.780000000001</v>
      </c>
      <c r="AF66" s="47">
        <f>AF62+AF63+AF64+AF65</f>
        <v>1135.78</v>
      </c>
      <c r="AG66" s="47">
        <f>AG62+AG63+AG64+AG65</f>
        <v>979.99</v>
      </c>
      <c r="AH66" s="47"/>
      <c r="AI66" s="47">
        <f>AI62+AI63+AI64+AI65</f>
        <v>1979.3400000000001</v>
      </c>
      <c r="AJ66" s="47">
        <f>AJ62+AJ63+AJ64+AJ65</f>
        <v>4357.69</v>
      </c>
      <c r="AK66" s="47">
        <f>AK62+AK63+AK64+AK65</f>
        <v>2722.1299999999997</v>
      </c>
      <c r="AL66" s="48">
        <f>B66+C66+D66+E66+F66+G66+H66+I66+J66+K66+L66+M66+N66+O66+P66+Q66+R66+S66+T66+U66+V66+W66+X66+Y66+Z66+AA66+AB66+AC66+AD66+AE66+AF66+AG66+AH66+AI66+AJ66+AK66</f>
        <v>80211.00000000001</v>
      </c>
    </row>
    <row r="67" spans="1:38" ht="16" outlineLevel="1">
      <c r="A67" s="36" t="s">
        <v>17</v>
      </c>
      <c r="B67" s="46">
        <v>1787.92</v>
      </c>
      <c r="C67" s="46">
        <v>2029.36</v>
      </c>
      <c r="D67" s="45"/>
      <c r="E67" s="45"/>
      <c r="F67" s="45"/>
      <c r="G67" s="46">
        <v>729.03</v>
      </c>
      <c r="H67" s="45"/>
      <c r="I67" s="45"/>
      <c r="J67" s="46">
        <v>1374.92</v>
      </c>
      <c r="K67" s="46">
        <v>1105.05</v>
      </c>
      <c r="L67" s="45"/>
      <c r="M67" s="46">
        <v>34.07</v>
      </c>
      <c r="N67" s="45"/>
      <c r="O67" s="46">
        <v>55.86</v>
      </c>
      <c r="P67" s="45"/>
      <c r="Q67" s="46">
        <v>25.6</v>
      </c>
      <c r="R67" s="46">
        <v>812.38</v>
      </c>
      <c r="S67" s="45"/>
      <c r="T67" s="46">
        <v>1363.2</v>
      </c>
      <c r="U67" s="46">
        <v>3864.84</v>
      </c>
      <c r="V67" s="45"/>
      <c r="W67" s="46">
        <v>33.26</v>
      </c>
      <c r="X67" s="45"/>
      <c r="Y67" s="46">
        <v>964.67</v>
      </c>
      <c r="Z67" s="45"/>
      <c r="AA67" s="46">
        <v>-73.65</v>
      </c>
      <c r="AB67" s="45"/>
      <c r="AC67" s="46">
        <v>660.45</v>
      </c>
      <c r="AD67" s="46">
        <v>1633.39</v>
      </c>
      <c r="AE67" s="45"/>
      <c r="AF67" s="45"/>
      <c r="AG67" s="46">
        <v>398.27</v>
      </c>
      <c r="AH67" s="45"/>
      <c r="AI67" s="45"/>
      <c r="AJ67" s="46">
        <v>1793.67</v>
      </c>
      <c r="AK67" s="46">
        <v>579.69</v>
      </c>
      <c r="AL67" s="46">
        <f>B67+C67+D67+E67+F67+G67+H67+I67+J67+K67+L67+M67+N67+O67+P67+Q67+R67+S67+T67+U67+V67+W67+X67+Y67+Z67+AA67+AB67+AC67+AD67+AE67+AF67+AG67+AH67+AI67+AJ67+AK67</f>
        <v>19171.98</v>
      </c>
    </row>
    <row r="68" spans="1:38" ht="16" outlineLevel="2">
      <c r="A68" s="37" t="s">
        <v>56</v>
      </c>
      <c r="B68" s="45"/>
      <c r="C68" s="45"/>
      <c r="D68" s="46">
        <v>1029.56</v>
      </c>
      <c r="E68" s="45"/>
      <c r="F68" s="45"/>
      <c r="G68" s="45"/>
      <c r="H68" s="46">
        <v>608.71</v>
      </c>
      <c r="I68" s="46">
        <v>3692.02</v>
      </c>
      <c r="J68" s="46">
        <v>1530.39</v>
      </c>
      <c r="K68" s="45"/>
      <c r="L68" s="45"/>
      <c r="M68" s="45"/>
      <c r="N68" s="46">
        <v>496.34</v>
      </c>
      <c r="O68" s="46">
        <v>1157.5</v>
      </c>
      <c r="P68" s="46">
        <v>667.85</v>
      </c>
      <c r="Q68" s="45"/>
      <c r="R68" s="46">
        <v>2604.5</v>
      </c>
      <c r="S68" s="46">
        <v>2007.18</v>
      </c>
      <c r="T68" s="46">
        <v>1327.4</v>
      </c>
      <c r="U68" s="45"/>
      <c r="V68" s="45"/>
      <c r="W68" s="45"/>
      <c r="X68" s="46">
        <v>-65.51</v>
      </c>
      <c r="Y68" s="46">
        <v>90.35</v>
      </c>
      <c r="Z68" s="45"/>
      <c r="AA68" s="45"/>
      <c r="AB68" s="45"/>
      <c r="AC68" s="46">
        <v>728.18</v>
      </c>
      <c r="AD68" s="46">
        <v>61.74</v>
      </c>
      <c r="AE68" s="45"/>
      <c r="AF68" s="45"/>
      <c r="AG68" s="46">
        <v>2189.23</v>
      </c>
      <c r="AH68" s="45"/>
      <c r="AI68" s="45"/>
      <c r="AJ68" s="45"/>
      <c r="AK68" s="46">
        <v>714.38</v>
      </c>
      <c r="AL68" s="46">
        <f>B68+C68+D68+E68+F68+G68+H68+I68+J68+K68+L68+M68+N68+O68+P68+Q68+R68+S68+T68+U68+V68+W68+X68+Y68+Z68+AA68+AB68+AC68+AD68+AE68+AF68+AG68+AH68+AI68+AJ68+AK68</f>
        <v>18839.820000000003</v>
      </c>
    </row>
    <row r="69" spans="1:38" ht="16" outlineLevel="2">
      <c r="A69" s="37" t="s">
        <v>57</v>
      </c>
      <c r="B69" s="45"/>
      <c r="C69" s="46">
        <v>125.74</v>
      </c>
      <c r="D69" s="45"/>
      <c r="E69" s="46">
        <v>2549.53</v>
      </c>
      <c r="F69" s="46">
        <v>2226.88</v>
      </c>
      <c r="G69" s="45"/>
      <c r="H69" s="45"/>
      <c r="I69" s="46">
        <v>426.65</v>
      </c>
      <c r="J69" s="45"/>
      <c r="K69" s="45"/>
      <c r="L69" s="46">
        <v>2464.0</v>
      </c>
      <c r="M69" s="46">
        <v>1138.7</v>
      </c>
      <c r="N69" s="45"/>
      <c r="O69" s="45"/>
      <c r="P69" s="45"/>
      <c r="Q69" s="45"/>
      <c r="R69" s="46">
        <v>583.44</v>
      </c>
      <c r="S69" s="45"/>
      <c r="T69" s="46">
        <v>1057.96</v>
      </c>
      <c r="U69" s="46">
        <v>1484.2</v>
      </c>
      <c r="V69" s="46">
        <v>3599.34</v>
      </c>
      <c r="W69" s="46">
        <v>33.05</v>
      </c>
      <c r="X69" s="46">
        <v>3871.82</v>
      </c>
      <c r="Y69" s="45"/>
      <c r="Z69" s="45"/>
      <c r="AA69" s="45"/>
      <c r="AB69" s="46">
        <v>196.9</v>
      </c>
      <c r="AC69" s="46">
        <v>4537.68</v>
      </c>
      <c r="AD69" s="45"/>
      <c r="AE69" s="45"/>
      <c r="AF69" s="46">
        <v>1952.99</v>
      </c>
      <c r="AG69" s="45"/>
      <c r="AH69" s="45"/>
      <c r="AI69" s="45"/>
      <c r="AJ69" s="45"/>
      <c r="AK69" s="45"/>
      <c r="AL69" s="46">
        <f>B69+C69+D69+E69+F69+G69+H69+I69+J69+K69+L69+M69+N69+O69+P69+Q69+R69+S69+T69+U69+V69+W69+X69+Y69+Z69+AA69+AB69+AC69+AD69+AE69+AF69+AG69+AH69+AI69+AJ69+AK69</f>
        <v>26248.880000000005</v>
      </c>
    </row>
    <row r="70" spans="1:38" ht="16" outlineLevel="2">
      <c r="A70" s="37" t="s">
        <v>58</v>
      </c>
      <c r="B70" s="45"/>
      <c r="C70" s="46">
        <v>224.42</v>
      </c>
      <c r="D70" s="46">
        <v>729.82</v>
      </c>
      <c r="E70" s="45"/>
      <c r="F70" s="46">
        <v>562.2</v>
      </c>
      <c r="G70" s="45"/>
      <c r="H70" s="46">
        <v>801.6</v>
      </c>
      <c r="I70" s="46">
        <v>919.73</v>
      </c>
      <c r="J70" s="45"/>
      <c r="K70" s="45"/>
      <c r="L70" s="45"/>
      <c r="M70" s="45"/>
      <c r="N70" s="45"/>
      <c r="O70" s="46">
        <v>421.16</v>
      </c>
      <c r="P70" s="45"/>
      <c r="Q70" s="46">
        <v>660.35</v>
      </c>
      <c r="R70" s="46">
        <v>287.45</v>
      </c>
      <c r="S70" s="45"/>
      <c r="T70" s="45"/>
      <c r="U70" s="46">
        <v>2348.49</v>
      </c>
      <c r="V70" s="46">
        <v>919.49</v>
      </c>
      <c r="W70" s="46">
        <v>42.77</v>
      </c>
      <c r="X70" s="45"/>
      <c r="Y70" s="46">
        <v>2163.61</v>
      </c>
      <c r="Z70" s="45"/>
      <c r="AA70" s="45"/>
      <c r="AB70" s="45"/>
      <c r="AC70" s="46">
        <v>1467.54</v>
      </c>
      <c r="AD70" s="45"/>
      <c r="AE70" s="46">
        <v>164.24</v>
      </c>
      <c r="AF70" s="45"/>
      <c r="AG70" s="45"/>
      <c r="AH70" s="45"/>
      <c r="AI70" s="46">
        <v>761.53</v>
      </c>
      <c r="AJ70" s="45"/>
      <c r="AK70" s="46">
        <v>1319.97</v>
      </c>
      <c r="AL70" s="46">
        <f>B70+C70+D70+E70+F70+G70+H70+I70+J70+K70+L70+M70+N70+O70+P70+Q70+R70+S70+T70+U70+V70+W70+X70+Y70+Z70+AA70+AB70+AC70+AD70+AE70+AF70+AG70+AH70+AI70+AJ70+AK70</f>
        <v>13794.37</v>
      </c>
    </row>
    <row r="71" spans="1:38" ht="16" outlineLevel="1">
      <c r="A71" s="40" t="s">
        <v>59</v>
      </c>
      <c r="B71" s="47">
        <f>B67+B68+B69+B70</f>
        <v>1787.92</v>
      </c>
      <c r="C71" s="47">
        <f>C67+C68+C69+C70</f>
        <v>2379.52</v>
      </c>
      <c r="D71" s="47">
        <f>D67+D68+D69+D70</f>
        <v>1759.38</v>
      </c>
      <c r="E71" s="47">
        <f>E67+E68+E69+E70</f>
        <v>2549.53</v>
      </c>
      <c r="F71" s="47">
        <f>F67+F68+F69+F70</f>
        <v>2789.08</v>
      </c>
      <c r="G71" s="47">
        <f>G67+G68+G69+G70</f>
        <v>729.03</v>
      </c>
      <c r="H71" s="47">
        <f>H67+H68+H69+H70</f>
        <v>1410.31</v>
      </c>
      <c r="I71" s="47">
        <f>I67+I68+I69+I70</f>
        <v>5038.4</v>
      </c>
      <c r="J71" s="47">
        <f>J67+J68+J69+J70</f>
        <v>2905.3100000000004</v>
      </c>
      <c r="K71" s="47">
        <f>K67+K68+K69+K70</f>
        <v>1105.05</v>
      </c>
      <c r="L71" s="47">
        <f>L67+L68+L69+L70</f>
        <v>2464.0</v>
      </c>
      <c r="M71" s="47">
        <f>M67+M68+M69+M70</f>
        <v>1172.77</v>
      </c>
      <c r="N71" s="47">
        <f>N67+N68+N69+N70</f>
        <v>496.34</v>
      </c>
      <c r="O71" s="47">
        <f>O67+O68+O69+O70</f>
        <v>1634.52</v>
      </c>
      <c r="P71" s="47">
        <f>P67+P68+P69+P70</f>
        <v>667.85</v>
      </c>
      <c r="Q71" s="47">
        <f>Q67+Q68+Q69+Q70</f>
        <v>685.95</v>
      </c>
      <c r="R71" s="47">
        <f>R67+R68+R69+R70</f>
        <v>4287.77</v>
      </c>
      <c r="S71" s="47">
        <f>S67+S68+S69+S70</f>
        <v>2007.18</v>
      </c>
      <c r="T71" s="47">
        <f>T67+T68+T69+T70</f>
        <v>3748.5600000000004</v>
      </c>
      <c r="U71" s="47">
        <f>U67+U68+U69+U70</f>
        <v>7697.53</v>
      </c>
      <c r="V71" s="47">
        <f>V67+V68+V69+V70</f>
        <v>4518.83</v>
      </c>
      <c r="W71" s="47">
        <f>W67+W68+W69+W70</f>
        <v>109.08000000000001</v>
      </c>
      <c r="X71" s="47">
        <f>X67+X68+X69+X70</f>
        <v>3806.31</v>
      </c>
      <c r="Y71" s="47">
        <f>Y67+Y68+Y69+Y70</f>
        <v>3218.63</v>
      </c>
      <c r="Z71" s="47"/>
      <c r="AA71" s="47">
        <f>AA67+AA68+AA69+AA70</f>
        <v>-73.65</v>
      </c>
      <c r="AB71" s="47">
        <f>AB67+AB68+AB69+AB70</f>
        <v>196.9</v>
      </c>
      <c r="AC71" s="47">
        <f>AC67+AC68+AC69+AC70</f>
        <v>7393.85</v>
      </c>
      <c r="AD71" s="47">
        <f>AD67+AD68+AD69+AD70</f>
        <v>1695.13</v>
      </c>
      <c r="AE71" s="47">
        <f>AE67+AE68+AE69+AE70</f>
        <v>164.24</v>
      </c>
      <c r="AF71" s="47">
        <f>AF67+AF68+AF69+AF70</f>
        <v>1952.99</v>
      </c>
      <c r="AG71" s="47">
        <f>AG67+AG68+AG69+AG70</f>
        <v>2587.5</v>
      </c>
      <c r="AH71" s="47"/>
      <c r="AI71" s="47">
        <f>AI67+AI68+AI69+AI70</f>
        <v>761.53</v>
      </c>
      <c r="AJ71" s="47">
        <f>AJ67+AJ68+AJ69+AJ70</f>
        <v>1793.67</v>
      </c>
      <c r="AK71" s="47">
        <f>AK67+AK68+AK69+AK70</f>
        <v>2614.04</v>
      </c>
      <c r="AL71" s="48">
        <f>B71+C71+D71+E71+F71+G71+H71+I71+J71+K71+L71+M71+N71+O71+P71+Q71+R71+S71+T71+U71+V71+W71+X71+Y71+Z71+AA71+AB71+AC71+AD71+AE71+AF71+AG71+AH71+AI71+AJ71+AK71</f>
        <v>78055.05</v>
      </c>
    </row>
    <row r="72" spans="1:38" ht="16" outlineLevel="1">
      <c r="A72" s="36" t="s">
        <v>60</v>
      </c>
      <c r="B72" s="46">
        <v>549.79</v>
      </c>
      <c r="C72" s="45"/>
      <c r="D72" s="45"/>
      <c r="E72" s="45"/>
      <c r="F72" s="45"/>
      <c r="G72" s="46">
        <v>55.79</v>
      </c>
      <c r="H72" s="45"/>
      <c r="I72" s="46">
        <v>373.18</v>
      </c>
      <c r="J72" s="45"/>
      <c r="K72" s="45"/>
      <c r="L72" s="46">
        <v>1529.24</v>
      </c>
      <c r="M72" s="45"/>
      <c r="N72" s="45"/>
      <c r="O72" s="45"/>
      <c r="P72" s="45"/>
      <c r="Q72" s="46">
        <v>1207.96</v>
      </c>
      <c r="R72" s="45"/>
      <c r="S72" s="46">
        <v>2875.31</v>
      </c>
      <c r="T72" s="45"/>
      <c r="U72" s="46">
        <v>1217.62</v>
      </c>
      <c r="V72" s="45"/>
      <c r="W72" s="46">
        <v>1133.82</v>
      </c>
      <c r="X72" s="46">
        <v>917.44</v>
      </c>
      <c r="Y72" s="45"/>
      <c r="Z72" s="45"/>
      <c r="AA72" s="45"/>
      <c r="AB72" s="45"/>
      <c r="AC72" s="45"/>
      <c r="AD72" s="45"/>
      <c r="AE72" s="46">
        <v>90.04</v>
      </c>
      <c r="AF72" s="45"/>
      <c r="AG72" s="46">
        <v>3357.98</v>
      </c>
      <c r="AH72" s="46">
        <v>2381.49</v>
      </c>
      <c r="AI72" s="46">
        <v>1890.21</v>
      </c>
      <c r="AJ72" s="46">
        <v>625.48</v>
      </c>
      <c r="AK72" s="46">
        <v>9.52</v>
      </c>
      <c r="AL72" s="46">
        <f>B72+C72+D72+E72+F72+G72+H72+I72+J72+K72+L72+M72+N72+O72+P72+Q72+R72+S72+T72+U72+V72+W72+X72+Y72+Z72+AA72+AB72+AC72+AD72+AE72+AF72+AG72+AH72+AI72+AJ72+AK72</f>
        <v>18214.870000000003</v>
      </c>
    </row>
    <row r="73" spans="1:38" ht="16" outlineLevel="1">
      <c r="A73" s="36" t="s">
        <v>61</v>
      </c>
      <c r="B73" s="45"/>
      <c r="C73" s="45"/>
      <c r="D73" s="45"/>
      <c r="E73" s="45"/>
      <c r="F73" s="46">
        <v>2380.58</v>
      </c>
      <c r="G73" s="45"/>
      <c r="H73" s="45"/>
      <c r="I73" s="45"/>
      <c r="J73" s="46">
        <v>-263.95</v>
      </c>
      <c r="K73" s="45"/>
      <c r="L73" s="45"/>
      <c r="M73" s="46">
        <v>1133.11</v>
      </c>
      <c r="N73" s="46">
        <v>-92.47</v>
      </c>
      <c r="O73" s="46">
        <v>560.63</v>
      </c>
      <c r="P73" s="45"/>
      <c r="Q73" s="45"/>
      <c r="R73" s="45"/>
      <c r="S73" s="45"/>
      <c r="T73" s="45"/>
      <c r="U73" s="45"/>
      <c r="V73" s="45"/>
      <c r="W73" s="45"/>
      <c r="X73" s="46">
        <v>313.05</v>
      </c>
      <c r="Y73" s="45"/>
      <c r="Z73" s="45"/>
      <c r="AA73" s="46">
        <v>210.98</v>
      </c>
      <c r="AB73" s="45"/>
      <c r="AC73" s="45"/>
      <c r="AD73" s="45"/>
      <c r="AE73" s="45"/>
      <c r="AF73" s="46">
        <v>2258.46</v>
      </c>
      <c r="AG73" s="46">
        <v>1801.82</v>
      </c>
      <c r="AH73" s="46">
        <v>1645.25</v>
      </c>
      <c r="AI73" s="46">
        <v>1681.27</v>
      </c>
      <c r="AJ73" s="45"/>
      <c r="AK73" s="46">
        <v>1618.28</v>
      </c>
      <c r="AL73" s="46">
        <f>B73+C73+D73+E73+F73+G73+H73+I73+J73+K73+L73+M73+N73+O73+P73+Q73+R73+S73+T73+U73+V73+W73+X73+Y73+Z73+AA73+AB73+AC73+AD73+AE73+AF73+AG73+AH73+AI73+AJ73+AK73</f>
        <v>13247.010000000002</v>
      </c>
    </row>
    <row r="74" spans="1:38" ht="16" outlineLevel="1">
      <c r="A74" s="36" t="s">
        <v>62</v>
      </c>
      <c r="B74" s="46">
        <v>201.05</v>
      </c>
      <c r="C74" s="46">
        <v>287.21</v>
      </c>
      <c r="D74" s="46">
        <v>806.69</v>
      </c>
      <c r="E74" s="45"/>
      <c r="F74" s="46">
        <v>387.09</v>
      </c>
      <c r="G74" s="46">
        <v>1435.45</v>
      </c>
      <c r="H74" s="46">
        <v>3193.58</v>
      </c>
      <c r="I74" s="45"/>
      <c r="J74" s="45"/>
      <c r="K74" s="45"/>
      <c r="L74" s="46">
        <v>904.94</v>
      </c>
      <c r="M74" s="46">
        <v>1852.67</v>
      </c>
      <c r="N74" s="46">
        <v>535.08</v>
      </c>
      <c r="O74" s="45"/>
      <c r="P74" s="45"/>
      <c r="Q74" s="46">
        <v>1185.13</v>
      </c>
      <c r="R74" s="45"/>
      <c r="S74" s="45"/>
      <c r="T74" s="46">
        <v>880.61</v>
      </c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6">
        <v>497.44</v>
      </c>
      <c r="AH74" s="46">
        <v>-276.07</v>
      </c>
      <c r="AI74" s="45"/>
      <c r="AJ74" s="46">
        <v>691.42</v>
      </c>
      <c r="AK74" s="45"/>
      <c r="AL74" s="46">
        <f>B74+C74+D74+E74+F74+G74+H74+I74+J74+K74+L74+M74+N74+O74+P74+Q74+R74+S74+T74+U74+V74+W74+X74+Y74+Z74+AA74+AB74+AC74+AD74+AE74+AF74+AG74+AH74+AI74+AJ74+AK74</f>
        <v>12582.29</v>
      </c>
    </row>
    <row r="75" spans="1:38" ht="16" outlineLevel="1">
      <c r="A75" s="36" t="s">
        <v>63</v>
      </c>
      <c r="B75" s="45"/>
      <c r="C75" s="45"/>
      <c r="D75" s="45"/>
      <c r="E75" s="46">
        <v>189.78</v>
      </c>
      <c r="F75" s="46">
        <v>61.87</v>
      </c>
      <c r="G75" s="45"/>
      <c r="H75" s="46">
        <v>221.98</v>
      </c>
      <c r="I75" s="46">
        <v>1155.75</v>
      </c>
      <c r="J75" s="45"/>
      <c r="K75" s="45"/>
      <c r="L75" s="45"/>
      <c r="M75" s="45"/>
      <c r="N75" s="45"/>
      <c r="O75" s="46">
        <v>982.73</v>
      </c>
      <c r="P75" s="45"/>
      <c r="Q75" s="45"/>
      <c r="R75" s="45"/>
      <c r="S75" s="46">
        <v>1681.99</v>
      </c>
      <c r="T75" s="46">
        <v>188.21</v>
      </c>
      <c r="U75" s="46">
        <v>2295.06</v>
      </c>
      <c r="V75" s="46">
        <v>4445.85</v>
      </c>
      <c r="W75" s="46">
        <v>66.75</v>
      </c>
      <c r="X75" s="45"/>
      <c r="Y75" s="45"/>
      <c r="Z75" s="46">
        <v>884.27</v>
      </c>
      <c r="AA75" s="45"/>
      <c r="AB75" s="46">
        <v>74.99</v>
      </c>
      <c r="AC75" s="46">
        <v>242.01</v>
      </c>
      <c r="AD75" s="45"/>
      <c r="AE75" s="46">
        <v>1526.21</v>
      </c>
      <c r="AF75" s="45"/>
      <c r="AG75" s="46">
        <v>1824.27</v>
      </c>
      <c r="AH75" s="46">
        <v>1274.5</v>
      </c>
      <c r="AI75" s="45"/>
      <c r="AJ75" s="46">
        <v>1741.87</v>
      </c>
      <c r="AK75" s="46">
        <v>127.12</v>
      </c>
      <c r="AL75" s="46">
        <f>B75+C75+D75+E75+F75+G75+H75+I75+J75+K75+L75+M75+N75+O75+P75+Q75+R75+S75+T75+U75+V75+W75+X75+Y75+Z75+AA75+AB75+AC75+AD75+AE75+AF75+AG75+AH75+AI75+AJ75+AK75</f>
        <v>18985.21</v>
      </c>
    </row>
    <row r="76" spans="1:38" ht="16" outlineLevel="1">
      <c r="A76" s="36" t="s">
        <v>64</v>
      </c>
      <c r="B76" s="46">
        <v>849.28</v>
      </c>
      <c r="C76" s="45"/>
      <c r="D76" s="45"/>
      <c r="E76" s="45"/>
      <c r="F76" s="45"/>
      <c r="G76" s="46">
        <v>4008.06</v>
      </c>
      <c r="H76" s="45"/>
      <c r="I76" s="45"/>
      <c r="J76" s="45"/>
      <c r="K76" s="45"/>
      <c r="L76" s="46">
        <v>466.3</v>
      </c>
      <c r="M76" s="46">
        <v>1407.48</v>
      </c>
      <c r="N76" s="45"/>
      <c r="O76" s="46">
        <v>1682.77</v>
      </c>
      <c r="P76" s="45"/>
      <c r="Q76" s="46">
        <v>1163.77</v>
      </c>
      <c r="R76" s="46">
        <v>1773.61</v>
      </c>
      <c r="S76" s="46">
        <v>333.47</v>
      </c>
      <c r="T76" s="45"/>
      <c r="U76" s="46">
        <v>1253.45</v>
      </c>
      <c r="V76" s="45"/>
      <c r="W76" s="46">
        <v>1406.24</v>
      </c>
      <c r="X76" s="45"/>
      <c r="Y76" s="45"/>
      <c r="Z76" s="45"/>
      <c r="AA76" s="45"/>
      <c r="AB76" s="45"/>
      <c r="AC76" s="46">
        <v>27.55</v>
      </c>
      <c r="AD76" s="45"/>
      <c r="AE76" s="45"/>
      <c r="AF76" s="46">
        <v>46.78</v>
      </c>
      <c r="AG76" s="45"/>
      <c r="AH76" s="45"/>
      <c r="AI76" s="46">
        <v>-85.93</v>
      </c>
      <c r="AJ76" s="46">
        <v>741.64</v>
      </c>
      <c r="AK76" s="46">
        <v>1944.7</v>
      </c>
      <c r="AL76" s="46">
        <f>B76+C76+D76+E76+F76+G76+H76+I76+J76+K76+L76+M76+N76+O76+P76+Q76+R76+S76+T76+U76+V76+W76+X76+Y76+Z76+AA76+AB76+AC76+AD76+AE76+AF76+AG76+AH76+AI76+AJ76+AK76</f>
        <v>17019.170000000002</v>
      </c>
    </row>
    <row r="77" spans="1:38" ht="16" outlineLevel="1">
      <c r="A77" s="36" t="s">
        <v>65</v>
      </c>
      <c r="B77" s="45"/>
      <c r="C77" s="45"/>
      <c r="D77" s="45"/>
      <c r="E77" s="45"/>
      <c r="F77" s="46">
        <v>857.67</v>
      </c>
      <c r="G77" s="46">
        <v>-80.23</v>
      </c>
      <c r="H77" s="46">
        <v>463.18</v>
      </c>
      <c r="I77" s="46">
        <v>895.81</v>
      </c>
      <c r="J77" s="46">
        <v>466.01</v>
      </c>
      <c r="K77" s="46">
        <v>1972.63</v>
      </c>
      <c r="L77" s="46">
        <v>25.75</v>
      </c>
      <c r="M77" s="45"/>
      <c r="N77" s="45"/>
      <c r="O77" s="46">
        <v>178.83</v>
      </c>
      <c r="P77" s="45"/>
      <c r="Q77" s="45"/>
      <c r="R77" s="45"/>
      <c r="S77" s="45"/>
      <c r="T77" s="45"/>
      <c r="U77" s="45"/>
      <c r="V77" s="46">
        <v>-240.31</v>
      </c>
      <c r="W77" s="46">
        <v>1699.38</v>
      </c>
      <c r="X77" s="46">
        <v>896.08</v>
      </c>
      <c r="Y77" s="45"/>
      <c r="Z77" s="46">
        <v>1285.28</v>
      </c>
      <c r="AA77" s="45"/>
      <c r="AB77" s="46">
        <v>284.21</v>
      </c>
      <c r="AC77" s="46">
        <v>4008.51</v>
      </c>
      <c r="AD77" s="45"/>
      <c r="AE77" s="46">
        <v>32.83</v>
      </c>
      <c r="AF77" s="45"/>
      <c r="AG77" s="45"/>
      <c r="AH77" s="45"/>
      <c r="AI77" s="45"/>
      <c r="AJ77" s="45"/>
      <c r="AK77" s="45"/>
      <c r="AL77" s="46">
        <f>B77+C77+D77+E77+F77+G77+H77+I77+J77+K77+L77+M77+N77+O77+P77+Q77+R77+S77+T77+U77+V77+W77+X77+Y77+Z77+AA77+AB77+AC77+AD77+AE77+AF77+AG77+AH77+AI77+AJ77+AK77</f>
        <v>12745.63</v>
      </c>
    </row>
    <row r="78" spans="1:38" ht="16" outlineLevel="1">
      <c r="A78" s="36" t="s">
        <v>66</v>
      </c>
      <c r="B78" s="45"/>
      <c r="C78" s="45"/>
      <c r="D78" s="46">
        <v>684.13</v>
      </c>
      <c r="E78" s="45"/>
      <c r="F78" s="45"/>
      <c r="G78" s="46">
        <v>-278.35</v>
      </c>
      <c r="H78" s="46">
        <v>2053.1</v>
      </c>
      <c r="I78" s="46">
        <v>3848.92</v>
      </c>
      <c r="J78" s="46">
        <v>165.41</v>
      </c>
      <c r="K78" s="45"/>
      <c r="L78" s="45"/>
      <c r="M78" s="46">
        <v>799.12</v>
      </c>
      <c r="N78" s="45"/>
      <c r="O78" s="46">
        <v>1193.31</v>
      </c>
      <c r="P78" s="45"/>
      <c r="Q78" s="46">
        <v>3867.17</v>
      </c>
      <c r="R78" s="46">
        <v>817.53</v>
      </c>
      <c r="S78" s="46">
        <v>2529.02</v>
      </c>
      <c r="T78" s="46">
        <v>985.17</v>
      </c>
      <c r="U78" s="45"/>
      <c r="V78" s="46">
        <v>1057.42</v>
      </c>
      <c r="W78" s="45"/>
      <c r="X78" s="45"/>
      <c r="Y78" s="45"/>
      <c r="Z78" s="46">
        <v>1080.85</v>
      </c>
      <c r="AA78" s="45"/>
      <c r="AB78" s="46">
        <v>25.32</v>
      </c>
      <c r="AC78" s="45"/>
      <c r="AD78" s="45"/>
      <c r="AE78" s="45"/>
      <c r="AF78" s="46">
        <v>463.03</v>
      </c>
      <c r="AG78" s="46">
        <v>240.43</v>
      </c>
      <c r="AH78" s="45"/>
      <c r="AI78" s="45"/>
      <c r="AJ78" s="45"/>
      <c r="AK78" s="45"/>
      <c r="AL78" s="46">
        <f>B78+C78+D78+E78+F78+G78+H78+I78+J78+K78+L78+M78+N78+O78+P78+Q78+R78+S78+T78+U78+V78+W78+X78+Y78+Z78+AA78+AB78+AC78+AD78+AE78+AF78+AG78+AH78+AI78+AJ78+AK78</f>
        <v>19531.579999999994</v>
      </c>
    </row>
    <row r="79" spans="1:38" ht="16" outlineLevel="1">
      <c r="A79" s="36" t="s">
        <v>67</v>
      </c>
      <c r="B79" s="46">
        <v>1732.88</v>
      </c>
      <c r="C79" s="45"/>
      <c r="D79" s="45"/>
      <c r="E79" s="46">
        <v>2113.92</v>
      </c>
      <c r="F79" s="46">
        <v>3186.09</v>
      </c>
      <c r="G79" s="45"/>
      <c r="H79" s="45"/>
      <c r="I79" s="45"/>
      <c r="J79" s="46">
        <v>425.63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6">
        <v>126.2</v>
      </c>
      <c r="W79" s="45"/>
      <c r="X79" s="46">
        <v>2580.11</v>
      </c>
      <c r="Y79" s="45"/>
      <c r="Z79" s="45"/>
      <c r="AA79" s="45"/>
      <c r="AB79" s="45"/>
      <c r="AC79" s="46">
        <v>3056.24</v>
      </c>
      <c r="AD79" s="45"/>
      <c r="AE79" s="45"/>
      <c r="AF79" s="46">
        <v>860.34</v>
      </c>
      <c r="AG79" s="46">
        <v>-148.51</v>
      </c>
      <c r="AH79" s="46">
        <v>1026.91</v>
      </c>
      <c r="AI79" s="46">
        <v>981.57</v>
      </c>
      <c r="AJ79" s="45"/>
      <c r="AK79" s="46">
        <v>425.25</v>
      </c>
      <c r="AL79" s="46">
        <f>B79+C79+D79+E79+F79+G79+H79+I79+J79+K79+L79+M79+N79+O79+P79+Q79+R79+S79+T79+U79+V79+W79+X79+Y79+Z79+AA79+AB79+AC79+AD79+AE79+AF79+AG79+AH79+AI79+AJ79+AK79</f>
        <v>16366.63</v>
      </c>
    </row>
    <row r="80" spans="1:38" ht="16" outlineLevel="1">
      <c r="A80" s="36" t="s">
        <v>68</v>
      </c>
      <c r="B80" s="45"/>
      <c r="C80" s="46">
        <v>1013.39</v>
      </c>
      <c r="D80" s="46">
        <v>730.63</v>
      </c>
      <c r="E80" s="46">
        <v>84.63</v>
      </c>
      <c r="F80" s="46">
        <v>198.05</v>
      </c>
      <c r="G80" s="45"/>
      <c r="H80" s="45"/>
      <c r="I80" s="46">
        <v>894.05</v>
      </c>
      <c r="J80" s="46">
        <v>2187.59</v>
      </c>
      <c r="K80" s="46">
        <v>2034.94</v>
      </c>
      <c r="L80" s="46">
        <v>2701.45</v>
      </c>
      <c r="M80" s="45"/>
      <c r="N80" s="45"/>
      <c r="O80" s="45"/>
      <c r="P80" s="46">
        <v>486.64</v>
      </c>
      <c r="Q80" s="45"/>
      <c r="R80" s="45"/>
      <c r="S80" s="45"/>
      <c r="T80" s="45"/>
      <c r="U80" s="45"/>
      <c r="V80" s="46">
        <v>687.53</v>
      </c>
      <c r="W80" s="45"/>
      <c r="X80" s="46">
        <v>1222.67</v>
      </c>
      <c r="Y80" s="46">
        <v>1161.38</v>
      </c>
      <c r="Z80" s="46">
        <v>31.6</v>
      </c>
      <c r="AA80" s="46">
        <v>1988.34</v>
      </c>
      <c r="AB80" s="46">
        <v>1476.75</v>
      </c>
      <c r="AC80" s="45"/>
      <c r="AD80" s="46">
        <v>-396.52</v>
      </c>
      <c r="AE80" s="45"/>
      <c r="AF80" s="45"/>
      <c r="AG80" s="46">
        <v>4773.76</v>
      </c>
      <c r="AH80" s="45"/>
      <c r="AI80" s="46">
        <v>184.58</v>
      </c>
      <c r="AJ80" s="45"/>
      <c r="AK80" s="46">
        <v>1943.17</v>
      </c>
      <c r="AL80" s="46">
        <f>B80+C80+D80+E80+F80+G80+H80+I80+J80+K80+L80+M80+N80+O80+P80+Q80+R80+S80+T80+U80+V80+W80+X80+Y80+Z80+AA80+AB80+AC80+AD80+AE80+AF80+AG80+AH80+AI80+AJ80+AK80</f>
        <v>23404.629999999997</v>
      </c>
    </row>
    <row r="81" spans="1:38" ht="16" outlineLevel="1">
      <c r="A81" s="36" t="s">
        <v>69</v>
      </c>
      <c r="B81" s="45"/>
      <c r="C81" s="45"/>
      <c r="D81" s="46">
        <v>1531.29</v>
      </c>
      <c r="E81" s="46">
        <v>4417.15</v>
      </c>
      <c r="F81" s="45"/>
      <c r="G81" s="45"/>
      <c r="H81" s="45"/>
      <c r="I81" s="45"/>
      <c r="J81" s="45"/>
      <c r="K81" s="45"/>
      <c r="L81" s="45"/>
      <c r="M81" s="46">
        <v>1371.62</v>
      </c>
      <c r="N81" s="45"/>
      <c r="O81" s="45"/>
      <c r="P81" s="45"/>
      <c r="Q81" s="45"/>
      <c r="R81" s="46">
        <v>1207.71</v>
      </c>
      <c r="S81" s="46">
        <v>154.36</v>
      </c>
      <c r="T81" s="46">
        <v>179.0</v>
      </c>
      <c r="U81" s="46">
        <v>1962.97</v>
      </c>
      <c r="V81" s="46">
        <v>586.91</v>
      </c>
      <c r="W81" s="46">
        <v>-202.46</v>
      </c>
      <c r="X81" s="45"/>
      <c r="Y81" s="45"/>
      <c r="Z81" s="45"/>
      <c r="AA81" s="46">
        <v>2661.1</v>
      </c>
      <c r="AB81" s="45"/>
      <c r="AC81" s="45"/>
      <c r="AD81" s="46">
        <v>291.34</v>
      </c>
      <c r="AE81" s="46">
        <v>636.32</v>
      </c>
      <c r="AF81" s="45"/>
      <c r="AG81" s="46">
        <v>-280.35</v>
      </c>
      <c r="AH81" s="46">
        <v>56.13</v>
      </c>
      <c r="AI81" s="46">
        <v>777.47</v>
      </c>
      <c r="AJ81" s="45"/>
      <c r="AK81" s="46">
        <v>411.01</v>
      </c>
      <c r="AL81" s="46">
        <f>B81+C81+D81+E81+F81+G81+H81+I81+J81+K81+L81+M81+N81+O81+P81+Q81+R81+S81+T81+U81+V81+W81+X81+Y81+Z81+AA81+AB81+AC81+AD81+AE81+AF81+AG81+AH81+AI81+AJ81+AK81</f>
        <v>15761.57</v>
      </c>
    </row>
    <row r="82" spans="1:38" ht="16" outlineLevel="1">
      <c r="A82" s="36" t="s">
        <v>70</v>
      </c>
      <c r="B82" s="45"/>
      <c r="C82" s="45"/>
      <c r="D82" s="46">
        <v>-401.78</v>
      </c>
      <c r="E82" s="45"/>
      <c r="F82" s="46">
        <v>1675.49</v>
      </c>
      <c r="G82" s="45"/>
      <c r="H82" s="45"/>
      <c r="I82" s="46">
        <v>1912.29</v>
      </c>
      <c r="J82" s="45"/>
      <c r="K82" s="46">
        <v>820.84</v>
      </c>
      <c r="L82" s="46">
        <v>709.15</v>
      </c>
      <c r="M82" s="45"/>
      <c r="N82" s="45"/>
      <c r="O82" s="45"/>
      <c r="P82" s="46">
        <v>362.75</v>
      </c>
      <c r="Q82" s="45"/>
      <c r="R82" s="46">
        <v>160.94</v>
      </c>
      <c r="S82" s="46">
        <v>-359.38</v>
      </c>
      <c r="T82" s="46">
        <v>3779.05</v>
      </c>
      <c r="U82" s="45"/>
      <c r="V82" s="46">
        <v>36.92</v>
      </c>
      <c r="W82" s="46">
        <v>52.99</v>
      </c>
      <c r="X82" s="45"/>
      <c r="Y82" s="46">
        <v>1479.57</v>
      </c>
      <c r="Z82" s="45"/>
      <c r="AA82" s="46">
        <v>2398.41</v>
      </c>
      <c r="AB82" s="46">
        <v>763.1</v>
      </c>
      <c r="AC82" s="45"/>
      <c r="AD82" s="46">
        <v>2619.15</v>
      </c>
      <c r="AE82" s="46">
        <v>2057.04</v>
      </c>
      <c r="AF82" s="45"/>
      <c r="AG82" s="45"/>
      <c r="AH82" s="46">
        <v>2451.04</v>
      </c>
      <c r="AI82" s="46">
        <v>1123.84</v>
      </c>
      <c r="AJ82" s="46">
        <v>1351.12</v>
      </c>
      <c r="AK82" s="46">
        <v>1064.23</v>
      </c>
      <c r="AL82" s="46">
        <f>B82+C82+D82+E82+F82+G82+H82+I82+J82+K82+L82+M82+N82+O82+P82+Q82+R82+S82+T82+U82+V82+W82+X82+Y82+Z82+AA82+AB82+AC82+AD82+AE82+AF82+AG82+AH82+AI82+AJ82+AK82</f>
        <v>24056.76</v>
      </c>
    </row>
    <row r="83" spans="1:38" ht="16" outlineLevel="1">
      <c r="A83" s="36" t="s">
        <v>71</v>
      </c>
      <c r="B83" s="46">
        <v>1049.85</v>
      </c>
      <c r="C83" s="45"/>
      <c r="D83" s="45"/>
      <c r="E83" s="46">
        <v>1001.46</v>
      </c>
      <c r="F83" s="46">
        <v>492.41</v>
      </c>
      <c r="G83" s="45"/>
      <c r="H83" s="46">
        <v>445.45</v>
      </c>
      <c r="I83" s="46">
        <v>-478.73</v>
      </c>
      <c r="J83" s="45"/>
      <c r="K83" s="45"/>
      <c r="L83" s="46">
        <v>1573.29</v>
      </c>
      <c r="M83" s="46">
        <v>663.9</v>
      </c>
      <c r="N83" s="45"/>
      <c r="O83" s="45"/>
      <c r="P83" s="46">
        <v>1327.74</v>
      </c>
      <c r="Q83" s="46">
        <v>1884.75</v>
      </c>
      <c r="R83" s="45"/>
      <c r="S83" s="45"/>
      <c r="T83" s="45"/>
      <c r="U83" s="45"/>
      <c r="V83" s="45"/>
      <c r="W83" s="46">
        <v>3004.96</v>
      </c>
      <c r="X83" s="46">
        <v>74.96</v>
      </c>
      <c r="Y83" s="45"/>
      <c r="Z83" s="45"/>
      <c r="AA83" s="45"/>
      <c r="AB83" s="45"/>
      <c r="AC83" s="45"/>
      <c r="AD83" s="45"/>
      <c r="AE83" s="45"/>
      <c r="AF83" s="46">
        <v>2138.96</v>
      </c>
      <c r="AG83" s="46">
        <v>146.13</v>
      </c>
      <c r="AH83" s="45"/>
      <c r="AI83" s="45"/>
      <c r="AJ83" s="45"/>
      <c r="AK83" s="46">
        <v>1516.18</v>
      </c>
      <c r="AL83" s="46">
        <f>B83+C83+D83+E83+F83+G83+H83+I83+J83+K83+L83+M83+N83+O83+P83+Q83+R83+S83+T83+U83+V83+W83+X83+Y83+Z83+AA83+AB83+AC83+AD83+AE83+AF83+AG83+AH83+AI83+AJ83+AK83</f>
        <v>14841.309999999996</v>
      </c>
    </row>
    <row r="84" spans="1:38" ht="16" outlineLevel="1">
      <c r="A84" s="36" t="s">
        <v>72</v>
      </c>
      <c r="B84" s="46">
        <v>501.96</v>
      </c>
      <c r="C84" s="46">
        <v>339.96</v>
      </c>
      <c r="D84" s="46">
        <v>521.13</v>
      </c>
      <c r="E84" s="45"/>
      <c r="F84" s="45"/>
      <c r="G84" s="46">
        <v>3050.27</v>
      </c>
      <c r="H84" s="46">
        <v>254.7</v>
      </c>
      <c r="I84" s="45"/>
      <c r="J84" s="45"/>
      <c r="K84" s="46">
        <v>112.61</v>
      </c>
      <c r="L84" s="45"/>
      <c r="M84" s="45"/>
      <c r="N84" s="45"/>
      <c r="O84" s="45"/>
      <c r="P84" s="46">
        <v>163.19</v>
      </c>
      <c r="Q84" s="46">
        <v>910.67</v>
      </c>
      <c r="R84" s="45"/>
      <c r="S84" s="46">
        <v>666.45</v>
      </c>
      <c r="T84" s="46">
        <v>3894.67</v>
      </c>
      <c r="U84" s="45"/>
      <c r="V84" s="45"/>
      <c r="W84" s="46">
        <v>797.26</v>
      </c>
      <c r="X84" s="46">
        <v>1920.42</v>
      </c>
      <c r="Y84" s="46">
        <v>1045.46</v>
      </c>
      <c r="Z84" s="46">
        <v>840.55</v>
      </c>
      <c r="AA84" s="45"/>
      <c r="AB84" s="46">
        <v>494.78</v>
      </c>
      <c r="AC84" s="45"/>
      <c r="AD84" s="46">
        <v>191.26</v>
      </c>
      <c r="AE84" s="46">
        <v>158.93</v>
      </c>
      <c r="AF84" s="45"/>
      <c r="AG84" s="45"/>
      <c r="AH84" s="46">
        <v>902.19</v>
      </c>
      <c r="AI84" s="46">
        <v>1452.07</v>
      </c>
      <c r="AJ84" s="46">
        <v>598.63</v>
      </c>
      <c r="AK84" s="45"/>
      <c r="AL84" s="46">
        <f>B84+C84+D84+E84+F84+G84+H84+I84+J84+K84+L84+M84+N84+O84+P84+Q84+R84+S84+T84+U84+V84+W84+X84+Y84+Z84+AA84+AB84+AC84+AD84+AE84+AF84+AG84+AH84+AI84+AJ84+AK84</f>
        <v>18817.16</v>
      </c>
    </row>
    <row r="85" spans="1:38" ht="16" outlineLevel="2">
      <c r="A85" s="37" t="s">
        <v>73</v>
      </c>
      <c r="B85" s="45"/>
      <c r="C85" s="46">
        <v>126.24</v>
      </c>
      <c r="D85" s="46">
        <v>58.88</v>
      </c>
      <c r="E85" s="45"/>
      <c r="F85" s="46">
        <v>1104.06</v>
      </c>
      <c r="G85" s="45"/>
      <c r="H85" s="46">
        <v>2659.54</v>
      </c>
      <c r="I85" s="46">
        <v>2427.75</v>
      </c>
      <c r="J85" s="46">
        <v>2242.71</v>
      </c>
      <c r="K85" s="45"/>
      <c r="L85" s="45"/>
      <c r="M85" s="45"/>
      <c r="N85" s="45"/>
      <c r="O85" s="46">
        <v>92.6</v>
      </c>
      <c r="P85" s="45"/>
      <c r="Q85" s="45"/>
      <c r="R85" s="46">
        <v>2031.41</v>
      </c>
      <c r="S85" s="46">
        <v>3572.84</v>
      </c>
      <c r="T85" s="46">
        <v>78.75</v>
      </c>
      <c r="U85" s="45"/>
      <c r="V85" s="45"/>
      <c r="W85" s="45"/>
      <c r="X85" s="45"/>
      <c r="Y85" s="46">
        <v>-125.34</v>
      </c>
      <c r="Z85" s="45"/>
      <c r="AA85" s="45"/>
      <c r="AB85" s="46">
        <v>3466.08</v>
      </c>
      <c r="AC85" s="45"/>
      <c r="AD85" s="45"/>
      <c r="AE85" s="46">
        <v>2036.26</v>
      </c>
      <c r="AF85" s="46">
        <v>1076.79</v>
      </c>
      <c r="AG85" s="45"/>
      <c r="AH85" s="46">
        <v>761.97</v>
      </c>
      <c r="AI85" s="46">
        <v>988.13</v>
      </c>
      <c r="AJ85" s="46">
        <v>551.0</v>
      </c>
      <c r="AK85" s="46">
        <v>114.09</v>
      </c>
      <c r="AL85" s="46">
        <f>B85+C85+D85+E85+F85+G85+H85+I85+J85+K85+L85+M85+N85+O85+P85+Q85+R85+S85+T85+U85+V85+W85+X85+Y85+Z85+AA85+AB85+AC85+AD85+AE85+AF85+AG85+AH85+AI85+AJ85+AK85</f>
        <v>23263.760000000002</v>
      </c>
    </row>
    <row r="86" spans="1:38" ht="16" outlineLevel="2">
      <c r="A86" s="37" t="s">
        <v>74</v>
      </c>
      <c r="B86" s="46">
        <v>40.4</v>
      </c>
      <c r="C86" s="45"/>
      <c r="D86" s="45"/>
      <c r="E86" s="46">
        <v>3494.38</v>
      </c>
      <c r="F86" s="46">
        <v>396.42</v>
      </c>
      <c r="G86" s="45"/>
      <c r="H86" s="45"/>
      <c r="I86" s="45"/>
      <c r="J86" s="45"/>
      <c r="K86" s="45"/>
      <c r="L86" s="45"/>
      <c r="M86" s="46">
        <v>3069.41</v>
      </c>
      <c r="N86" s="46">
        <v>287.06</v>
      </c>
      <c r="O86" s="46">
        <v>1107.62</v>
      </c>
      <c r="P86" s="46">
        <v>1069.87</v>
      </c>
      <c r="Q86" s="45"/>
      <c r="R86" s="45"/>
      <c r="S86" s="46">
        <v>1285.77</v>
      </c>
      <c r="T86" s="45"/>
      <c r="U86" s="46">
        <v>118.73</v>
      </c>
      <c r="V86" s="45"/>
      <c r="W86" s="45"/>
      <c r="X86" s="46">
        <v>1269.15</v>
      </c>
      <c r="Y86" s="45"/>
      <c r="Z86" s="46">
        <v>20.42</v>
      </c>
      <c r="AA86" s="45"/>
      <c r="AB86" s="46">
        <v>1709.79</v>
      </c>
      <c r="AC86" s="45"/>
      <c r="AD86" s="45"/>
      <c r="AE86" s="46">
        <v>304.1</v>
      </c>
      <c r="AF86" s="46">
        <v>1402.46</v>
      </c>
      <c r="AG86" s="45"/>
      <c r="AH86" s="46">
        <v>1714.44</v>
      </c>
      <c r="AI86" s="45"/>
      <c r="AJ86" s="46">
        <v>695.08</v>
      </c>
      <c r="AK86" s="46">
        <v>414.18</v>
      </c>
      <c r="AL86" s="46">
        <f>B86+C86+D86+E86+F86+G86+H86+I86+J86+K86+L86+M86+N86+O86+P86+Q86+R86+S86+T86+U86+V86+W86+X86+Y86+Z86+AA86+AB86+AC86+AD86+AE86+AF86+AG86+AH86+AI86+AJ86+AK86</f>
        <v>18399.280000000002</v>
      </c>
    </row>
    <row r="87" spans="1:38" ht="16" outlineLevel="1">
      <c r="A87" s="40" t="s">
        <v>75</v>
      </c>
      <c r="B87" s="47">
        <f>B84+B85+B86</f>
        <v>542.36</v>
      </c>
      <c r="C87" s="47">
        <f>C84+C85+C86</f>
        <v>466.2</v>
      </c>
      <c r="D87" s="47">
        <f>D84+D85+D86</f>
        <v>580.01</v>
      </c>
      <c r="E87" s="47">
        <f>E84+E85+E86</f>
        <v>3494.38</v>
      </c>
      <c r="F87" s="47">
        <f>F84+F85+F86</f>
        <v>1500.48</v>
      </c>
      <c r="G87" s="47">
        <f>G84+G85+G86</f>
        <v>3050.27</v>
      </c>
      <c r="H87" s="47">
        <f>H84+H85+H86</f>
        <v>2914.24</v>
      </c>
      <c r="I87" s="47">
        <f>I84+I85+I86</f>
        <v>2427.75</v>
      </c>
      <c r="J87" s="47">
        <f>J84+J85+J86</f>
        <v>2242.71</v>
      </c>
      <c r="K87" s="47">
        <f>K84+K85+K86</f>
        <v>112.61</v>
      </c>
      <c r="L87" s="47"/>
      <c r="M87" s="47">
        <f>M84+M85+M86</f>
        <v>3069.41</v>
      </c>
      <c r="N87" s="47">
        <f>N84+N85+N86</f>
        <v>287.06</v>
      </c>
      <c r="O87" s="47">
        <f>O84+O85+O86</f>
        <v>1200.2199999999998</v>
      </c>
      <c r="P87" s="47">
        <f>P84+P85+P86</f>
        <v>1233.06</v>
      </c>
      <c r="Q87" s="47">
        <f>Q84+Q85+Q86</f>
        <v>910.67</v>
      </c>
      <c r="R87" s="47">
        <f>R84+R85+R86</f>
        <v>2031.41</v>
      </c>
      <c r="S87" s="47">
        <f>S84+S85+S86</f>
        <v>5525.0599999999995</v>
      </c>
      <c r="T87" s="47">
        <f>T84+T85+T86</f>
        <v>3973.42</v>
      </c>
      <c r="U87" s="47">
        <f>U84+U85+U86</f>
        <v>118.73</v>
      </c>
      <c r="V87" s="47"/>
      <c r="W87" s="47">
        <f>W84+W85+W86</f>
        <v>797.26</v>
      </c>
      <c r="X87" s="47">
        <f>X84+X85+X86</f>
        <v>3189.57</v>
      </c>
      <c r="Y87" s="47">
        <f>Y84+Y85+Y86</f>
        <v>920.12</v>
      </c>
      <c r="Z87" s="47">
        <f>Z84+Z85+Z86</f>
        <v>860.9699999999999</v>
      </c>
      <c r="AA87" s="47"/>
      <c r="AB87" s="47">
        <f>AB84+AB85+AB86</f>
        <v>5670.65</v>
      </c>
      <c r="AC87" s="47"/>
      <c r="AD87" s="47">
        <f>AD84+AD85+AD86</f>
        <v>191.26</v>
      </c>
      <c r="AE87" s="47">
        <f>AE84+AE85+AE86</f>
        <v>2499.29</v>
      </c>
      <c r="AF87" s="47">
        <f>AF84+AF85+AF86</f>
        <v>2479.25</v>
      </c>
      <c r="AG87" s="47"/>
      <c r="AH87" s="47">
        <f>AH84+AH85+AH86</f>
        <v>3378.6000000000004</v>
      </c>
      <c r="AI87" s="47">
        <f>AI84+AI85+AI86</f>
        <v>2440.2</v>
      </c>
      <c r="AJ87" s="47">
        <f>AJ84+AJ85+AJ86</f>
        <v>1844.71</v>
      </c>
      <c r="AK87" s="47">
        <f>AK84+AK85+AK86</f>
        <v>528.27</v>
      </c>
      <c r="AL87" s="48">
        <f>B87+C87+D87+E87+F87+G87+H87+I87+J87+K87+L87+M87+N87+O87+P87+Q87+R87+S87+T87+U87+V87+W87+X87+Y87+Z87+AA87+AB87+AC87+AD87+AE87+AF87+AG87+AH87+AI87+AJ87+AK87</f>
        <v>60480.200000000004</v>
      </c>
    </row>
    <row r="88" spans="1:38" ht="16">
      <c r="A88" s="41" t="s">
        <v>76</v>
      </c>
      <c r="B88" s="47">
        <f>B36+B39+B40+B41+B42+B43+B44+B47+B61+B66+B71+B72+B73+B74+B75+B76+B77+B78+B79+B80+B81+B82+B83+B87</f>
        <v>11451.49</v>
      </c>
      <c r="C88" s="47">
        <f>C36+C39+C40+C41+C42+C43+C44+C47+C61+C66+C71+C72+C73+C74+C75+C76+C77+C78+C79+C80+C81+C82+C83+C87</f>
        <v>12553.59</v>
      </c>
      <c r="D88" s="47">
        <f>D36+D39+D40+D41+D42+D43+D44+D47+D61+D66+D71+D72+D73+D74+D75+D76+D77+D78+D79+D80+D81+D82+D83+D87</f>
        <v>15009.799999999996</v>
      </c>
      <c r="E88" s="47">
        <f>E36+E39+E40+E41+E42+E43+E44+E47+E61+E66+E71+E72+E73+E74+E75+E76+E77+E78+E79+E80+E81+E82+E83+E87</f>
        <v>21616.04</v>
      </c>
      <c r="F88" s="47">
        <f>F36+F39+F40+F41+F42+F43+F44+F47+F61+F66+F71+F72+F73+F74+F75+F76+F77+F78+F79+F80+F81+F82+F83+F87</f>
        <v>20976.99</v>
      </c>
      <c r="G88" s="47">
        <f>G36+G39+G40+G41+G42+G43+G44+G47+G61+G66+G71+G72+G73+G74+G75+G76+G77+G78+G79+G80+G81+G82+G83+G87</f>
        <v>21556.890000000007</v>
      </c>
      <c r="H88" s="47">
        <f>H36+H39+H40+H41+H42+H43+H44+H47+H61+H66+H71+H72+H73+H74+H75+H76+H77+H78+H79+H80+H81+H82+H83+H87</f>
        <v>18373.59</v>
      </c>
      <c r="I88" s="47">
        <f>I36+I39+I40+I41+I42+I43+I44+I47+I61+I66+I71+I72+I73+I74+I75+I76+I77+I78+I79+I80+I81+I82+I83+I87</f>
        <v>23812.05</v>
      </c>
      <c r="J88" s="47">
        <f>J36+J39+J40+J41+J42+J43+J44+J47+J61+J66+J71+J72+J73+J74+J75+J76+J77+J78+J79+J80+J81+J82+J83+J87</f>
        <v>20468.67</v>
      </c>
      <c r="K88" s="47">
        <f>K36+K39+K40+K41+K42+K43+K44+K47+K61+K66+K71+K72+K73+K74+K75+K76+K77+K78+K79+K80+K81+K82+K83+K87</f>
        <v>23227.28</v>
      </c>
      <c r="L88" s="47">
        <f>L36+L39+L40+L41+L42+L43+L44+L47+L61+L66+L71+L72+L73+L74+L75+L76+L77+L78+L79+L80+L81+L82+L83+L87</f>
        <v>20746.690000000002</v>
      </c>
      <c r="M88" s="47">
        <f>M36+M39+M40+M41+M42+M43+M44+M47+M61+M66+M71+M72+M73+M74+M75+M76+M77+M78+M79+M80+M81+M82+M83+M87</f>
        <v>19666.950000000004</v>
      </c>
      <c r="N88" s="47">
        <f>N36+N39+N40+N41+N42+N43+N44+N47+N61+N66+N71+N72+N73+N74+N75+N76+N77+N78+N79+N80+N81+N82+N83+N87</f>
        <v>7119.9800000000005</v>
      </c>
      <c r="O88" s="47">
        <f>O36+O39+O40+O41+O42+O43+O44+O47+O61+O66+O71+O72+O73+O74+O75+O76+O77+O78+O79+O80+O81+O82+O83+O87</f>
        <v>14481.479999999998</v>
      </c>
      <c r="P88" s="47">
        <f>P36+P39+P40+P41+P42+P43+P44+P47+P61+P66+P71+P72+P73+P74+P75+P76+P77+P78+P79+P80+P81+P82+P83+P87</f>
        <v>15455.849999999999</v>
      </c>
      <c r="Q88" s="47">
        <f>Q36+Q39+Q40+Q41+Q42+Q43+Q44+Q47+Q61+Q66+Q71+Q72+Q73+Q74+Q75+Q76+Q77+Q78+Q79+Q80+Q81+Q82+Q83+Q87</f>
        <v>22503.550000000003</v>
      </c>
      <c r="R88" s="47">
        <f>R36+R39+R40+R41+R42+R43+R44+R47+R61+R66+R71+R72+R73+R74+R75+R76+R77+R78+R79+R80+R81+R82+R83+R87</f>
        <v>23391.1</v>
      </c>
      <c r="S88" s="47">
        <f>S36+S39+S40+S41+S42+S43+S44+S47+S61+S66+S71+S72+S73+S74+S75+S76+S77+S78+S79+S80+S81+S82+S83+S87</f>
        <v>36787.090000000004</v>
      </c>
      <c r="T88" s="47">
        <f>T36+T39+T40+T41+T42+T43+T44+T47+T61+T66+T71+T72+T73+T74+T75+T76+T77+T78+T79+T80+T81+T82+T83+T87</f>
        <v>28278.46</v>
      </c>
      <c r="U88" s="47">
        <f>U36+U39+U40+U41+U42+U43+U44+U47+U61+U66+U71+U72+U73+U74+U75+U76+U77+U78+U79+U80+U81+U82+U83+U87</f>
        <v>30381.72</v>
      </c>
      <c r="V88" s="47">
        <f>V36+V39+V40+V41+V42+V43+V44+V47+V61+V66+V71+V72+V73+V74+V75+V76+V77+V78+V79+V80+V81+V82+V83+V87</f>
        <v>23581.97</v>
      </c>
      <c r="W88" s="47">
        <f>W36+W39+W40+W41+W42+W43+W44+W47+W61+W66+W71+W72+W73+W74+W75+W76+W77+W78+W79+W80+W81+W82+W83+W87</f>
        <v>24113.230000000003</v>
      </c>
      <c r="X88" s="47">
        <f>X36+X39+X40+X41+X42+X43+X44+X47+X61+X66+X71+X72+X73+X74+X75+X76+X77+X78+X79+X80+X81+X82+X83+X87</f>
        <v>20952.07</v>
      </c>
      <c r="Y88" s="47">
        <f>Y36+Y39+Y40+Y41+Y42+Y43+Y44+Y47+Y61+Y66+Y71+Y72+Y73+Y74+Y75+Y76+Y77+Y78+Y79+Y80+Y81+Y82+Y83+Y87</f>
        <v>24427.86</v>
      </c>
      <c r="Z88" s="47">
        <f>Z36+Z39+Z40+Z41+Z42+Z43+Z44+Z47+Z61+Z66+Z71+Z72+Z73+Z74+Z75+Z76+Z77+Z78+Z79+Z80+Z81+Z82+Z83+Z87</f>
        <v>11069.740000000002</v>
      </c>
      <c r="AA88" s="47">
        <f>AA36+AA39+AA40+AA41+AA42+AA43+AA44+AA47+AA61+AA66+AA71+AA72+AA73+AA74+AA75+AA76+AA77+AA78+AA79+AA80+AA81+AA82+AA83+AA87</f>
        <v>16368.26</v>
      </c>
      <c r="AB88" s="47">
        <f>AB36+AB39+AB40+AB41+AB42+AB43+AB44+AB47+AB61+AB66+AB71+AB72+AB73+AB74+AB75+AB76+AB77+AB78+AB79+AB80+AB81+AB82+AB83+AB87</f>
        <v>15193.34</v>
      </c>
      <c r="AC88" s="47">
        <f>AC36+AC39+AC40+AC41+AC42+AC43+AC44+AC47+AC61+AC66+AC71+AC72+AC73+AC74+AC75+AC76+AC77+AC78+AC79+AC80+AC81+AC82+AC83+AC87</f>
        <v>26627.429999999993</v>
      </c>
      <c r="AD88" s="47">
        <f>AD36+AD39+AD40+AD41+AD42+AD43+AD44+AD47+AD61+AD66+AD71+AD72+AD73+AD74+AD75+AD76+AD77+AD78+AD79+AD80+AD81+AD82+AD83+AD87</f>
        <v>33783.89000000001</v>
      </c>
      <c r="AE88" s="47">
        <f>AE36+AE39+AE40+AE41+AE42+AE43+AE44+AE47+AE61+AE66+AE71+AE72+AE73+AE74+AE75+AE76+AE77+AE78+AE79+AE80+AE81+AE82+AE83+AE87</f>
        <v>20318.16</v>
      </c>
      <c r="AF88" s="47">
        <f>AF36+AF39+AF40+AF41+AF42+AF43+AF44+AF47+AF61+AF66+AF71+AF72+AF73+AF74+AF75+AF76+AF77+AF78+AF79+AF80+AF81+AF82+AF83+AF87</f>
        <v>20485.36</v>
      </c>
      <c r="AG88" s="47">
        <f>AG36+AG39+AG40+AG41+AG42+AG43+AG44+AG47+AG61+AG66+AG71+AG72+AG73+AG74+AG75+AG76+AG77+AG78+AG79+AG80+AG81+AG82+AG83+AG87</f>
        <v>25477.360000000004</v>
      </c>
      <c r="AH88" s="47">
        <f>AH36+AH39+AH40+AH41+AH42+AH43+AH44+AH47+AH61+AH66+AH71+AH72+AH73+AH74+AH75+AH76+AH77+AH78+AH79+AH80+AH81+AH82+AH83+AH87</f>
        <v>23838.21</v>
      </c>
      <c r="AI88" s="47">
        <f>AI36+AI39+AI40+AI41+AI42+AI43+AI44+AI47+AI61+AI66+AI71+AI72+AI73+AI74+AI75+AI76+AI77+AI78+AI79+AI80+AI81+AI82+AI83+AI87</f>
        <v>26092.670000000002</v>
      </c>
      <c r="AJ88" s="47">
        <f>AJ36+AJ39+AJ40+AJ41+AJ42+AJ43+AJ44+AJ47+AJ61+AJ66+AJ71+AJ72+AJ73+AJ74+AJ75+AJ76+AJ77+AJ78+AJ79+AJ80+AJ81+AJ82+AJ83+AJ87</f>
        <v>25579.89999999999</v>
      </c>
      <c r="AK88" s="47">
        <f>AK36+AK39+AK40+AK41+AK42+AK43+AK44+AK47+AK61+AK66+AK71+AK72+AK73+AK74+AK75+AK76+AK77+AK78+AK79+AK80+AK81+AK82+AK83+AK87</f>
        <v>28289.419999999995</v>
      </c>
      <c r="AL88" s="48">
        <f>B88+C88+D88+E88+F88+G88+H88+I88+J88+K88+L88+M88+N88+O88+P88+Q88+R88+S88+T88+U88+V88+W88+X88+Y88+Z88+AA88+AB88+AC88+AD88+AE88+AF88+AG88+AH88+AI88+AJ88+AK88</f>
        <v>774058.13</v>
      </c>
    </row>
    <row r="89" spans="1:38" ht="16">
      <c r="A89" s="41" t="s">
        <v>77</v>
      </c>
      <c r="B89" s="47">
        <f>B34-B88</f>
        <v>5181.92</v>
      </c>
      <c r="C89" s="47">
        <f>C34-C88</f>
        <v>12783.150000000001</v>
      </c>
      <c r="D89" s="47">
        <f>D34-D88</f>
        <v>27389.83</v>
      </c>
      <c r="E89" s="47">
        <f>E34-E88</f>
        <v>101710.43</v>
      </c>
      <c r="F89" s="47">
        <f>F34-F88</f>
        <v>108244.98999999999</v>
      </c>
      <c r="G89" s="47">
        <f>G34-G88</f>
        <v>10759.859999999993</v>
      </c>
      <c r="H89" s="47">
        <f>H34-H88</f>
        <v>159337.21</v>
      </c>
      <c r="I89" s="47">
        <f>I34-I88</f>
        <v>46097.65000000001</v>
      </c>
      <c r="J89" s="47">
        <f>J34-J88</f>
        <v>128246.73</v>
      </c>
      <c r="K89" s="47">
        <f>K34-K88</f>
        <v>40230.31</v>
      </c>
      <c r="L89" s="47">
        <f>L34-L88</f>
        <v>39676.770000000004</v>
      </c>
      <c r="M89" s="47">
        <f>M34-M88</f>
        <v>-409.18000000000757</v>
      </c>
      <c r="N89" s="47">
        <f>N34-N88</f>
        <v>36045.5</v>
      </c>
      <c r="O89" s="47">
        <f>O34-O88</f>
        <v>29285.840000000004</v>
      </c>
      <c r="P89" s="47">
        <f>P34-P88</f>
        <v>18973.420000000006</v>
      </c>
      <c r="Q89" s="47">
        <f>Q34-Q88</f>
        <v>70921.67</v>
      </c>
      <c r="R89" s="47">
        <f>R34-R88</f>
        <v>36679.380000000005</v>
      </c>
      <c r="S89" s="47">
        <f>S34-S88</f>
        <v>59306.719999999994</v>
      </c>
      <c r="T89" s="47">
        <f>T34-T88</f>
        <v>131819.3</v>
      </c>
      <c r="U89" s="47">
        <f>U34-U88</f>
        <v>86246.87999999999</v>
      </c>
      <c r="V89" s="47">
        <f>V34-V88</f>
        <v>82575.91</v>
      </c>
      <c r="W89" s="47">
        <f>W34-W88</f>
        <v>117975.66999999998</v>
      </c>
      <c r="X89" s="47">
        <f>X34-X88</f>
        <v>33819.18000000001</v>
      </c>
      <c r="Y89" s="47">
        <f>Y34-Y88</f>
        <v>-317.8600000000042</v>
      </c>
      <c r="Z89" s="47">
        <f>Z34-Z88</f>
        <v>22430.080000000005</v>
      </c>
      <c r="AA89" s="47">
        <f>AA34-AA88</f>
        <v>30466.009999999995</v>
      </c>
      <c r="AB89" s="47">
        <f>AB34-AB88</f>
        <v>53170.16</v>
      </c>
      <c r="AC89" s="47">
        <f>AC34-AC88</f>
        <v>23579.140000000007</v>
      </c>
      <c r="AD89" s="47">
        <f>AD34-AD88</f>
        <v>83627.76000000001</v>
      </c>
      <c r="AE89" s="47">
        <f>AE34-AE88</f>
        <v>168214.06</v>
      </c>
      <c r="AF89" s="47">
        <f>AF34-AF88</f>
        <v>9610.219999999998</v>
      </c>
      <c r="AG89" s="47">
        <f>AG34-AG88</f>
        <v>41294.31</v>
      </c>
      <c r="AH89" s="47">
        <f>AH34-AH88</f>
        <v>51772.53000000002</v>
      </c>
      <c r="AI89" s="47">
        <f>AI34-AI88</f>
        <v>10661.519999999993</v>
      </c>
      <c r="AJ89" s="47">
        <f>AJ34-AJ88</f>
        <v>27221.74</v>
      </c>
      <c r="AK89" s="47">
        <f>AK34-AK88</f>
        <v>23463.070000000003</v>
      </c>
      <c r="AL89" s="48">
        <f>B89+C89+D89+E89+F89+G89+H89+I89+J89+K89+L89+M89+N89+O89+P89+Q89+R89+S89+T89+U89+V89+W89+X89+Y89+Z89+AA89+AB89+AC89+AD89+AE89+AF89+AG89+AH89+AI89+AJ89+AK89</f>
        <v>1928091.8799999997</v>
      </c>
    </row>
    <row r="90" spans="1:37" ht="16">
      <c r="A90" s="35" t="s">
        <v>20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 spans="1:38" ht="16" outlineLevel="1">
      <c r="A91" s="36" t="s">
        <v>78</v>
      </c>
      <c r="B91" s="45"/>
      <c r="C91" s="45"/>
      <c r="D91" s="45"/>
      <c r="E91" s="46">
        <v>21584.85</v>
      </c>
      <c r="F91" s="45"/>
      <c r="G91" s="45"/>
      <c r="H91" s="45"/>
      <c r="I91" s="46">
        <v>29123.8</v>
      </c>
      <c r="J91" s="45"/>
      <c r="K91" s="46">
        <v>61139.34</v>
      </c>
      <c r="L91" s="45"/>
      <c r="M91" s="46">
        <v>10310.32</v>
      </c>
      <c r="N91" s="45"/>
      <c r="O91" s="45"/>
      <c r="P91" s="46">
        <v>18486.86</v>
      </c>
      <c r="Q91" s="46">
        <v>10857.72</v>
      </c>
      <c r="R91" s="45"/>
      <c r="S91" s="46">
        <v>19378.73</v>
      </c>
      <c r="T91" s="45"/>
      <c r="U91" s="45"/>
      <c r="V91" s="45"/>
      <c r="W91" s="45"/>
      <c r="X91" s="45"/>
      <c r="Y91" s="45"/>
      <c r="Z91" s="45"/>
      <c r="AA91" s="45"/>
      <c r="AB91" s="45"/>
      <c r="AC91" s="46">
        <v>2488.88</v>
      </c>
      <c r="AD91" s="45"/>
      <c r="AE91" s="45"/>
      <c r="AF91" s="45"/>
      <c r="AG91" s="45"/>
      <c r="AH91" s="45"/>
      <c r="AI91" s="45"/>
      <c r="AJ91" s="45"/>
      <c r="AK91" s="45"/>
      <c r="AL91" s="46">
        <f>B91+C91+D91+E91+F91+G91+H91+I91+J91+K91+L91+M91+N91+O91+P91+Q91+R91+S91+T91+U91+V91+W91+X91+Y91+Z91+AA91+AB91+AC91+AD91+AE91+AF91+AG91+AH91+AI91+AJ91+AK91</f>
        <v>173370.5</v>
      </c>
    </row>
    <row r="92" spans="1:38" ht="16" outlineLevel="1">
      <c r="A92" s="36" t="s">
        <v>79</v>
      </c>
      <c r="B92" s="45"/>
      <c r="C92" s="45"/>
      <c r="D92" s="46">
        <v>3496.21</v>
      </c>
      <c r="E92" s="45"/>
      <c r="F92" s="45"/>
      <c r="G92" s="46">
        <v>36362.28</v>
      </c>
      <c r="H92" s="45"/>
      <c r="I92" s="45"/>
      <c r="J92" s="45"/>
      <c r="K92" s="45"/>
      <c r="L92" s="46">
        <v>3278.27</v>
      </c>
      <c r="M92" s="46">
        <v>909.28</v>
      </c>
      <c r="N92" s="45"/>
      <c r="O92" s="45"/>
      <c r="P92" s="45"/>
      <c r="Q92" s="45"/>
      <c r="R92" s="46">
        <v>42191.13</v>
      </c>
      <c r="S92" s="46">
        <v>6374.87</v>
      </c>
      <c r="T92" s="45"/>
      <c r="U92" s="46">
        <v>22358.79</v>
      </c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6">
        <v>4223.86</v>
      </c>
      <c r="AG92" s="45"/>
      <c r="AH92" s="45"/>
      <c r="AI92" s="45"/>
      <c r="AJ92" s="45"/>
      <c r="AK92" s="45"/>
      <c r="AL92" s="46">
        <f>B92+C92+D92+E92+F92+G92+H92+I92+J92+K92+L92+M92+N92+O92+P92+Q92+R92+S92+T92+U92+V92+W92+X92+Y92+Z92+AA92+AB92+AC92+AD92+AE92+AF92+AG92+AH92+AI92+AJ92+AK92</f>
        <v>119194.68999999999</v>
      </c>
    </row>
    <row r="93" spans="1:38" ht="16">
      <c r="A93" s="41" t="s">
        <v>80</v>
      </c>
      <c r="B93" s="47"/>
      <c r="C93" s="47"/>
      <c r="D93" s="47">
        <f>D91+D92</f>
        <v>3496.21</v>
      </c>
      <c r="E93" s="47">
        <f>E91+E92</f>
        <v>21584.85</v>
      </c>
      <c r="F93" s="47"/>
      <c r="G93" s="47">
        <f>G91+G92</f>
        <v>36362.28</v>
      </c>
      <c r="H93" s="47"/>
      <c r="I93" s="47">
        <f>I91+I92</f>
        <v>29123.8</v>
      </c>
      <c r="J93" s="47"/>
      <c r="K93" s="47">
        <f>K91+K92</f>
        <v>61139.34</v>
      </c>
      <c r="L93" s="47">
        <f>L91+L92</f>
        <v>3278.27</v>
      </c>
      <c r="M93" s="47">
        <f>M91+M92</f>
        <v>11219.6</v>
      </c>
      <c r="N93" s="47"/>
      <c r="O93" s="47"/>
      <c r="P93" s="47">
        <f>P91+P92</f>
        <v>18486.86</v>
      </c>
      <c r="Q93" s="47">
        <f>Q91+Q92</f>
        <v>10857.72</v>
      </c>
      <c r="R93" s="47">
        <f>R91+R92</f>
        <v>42191.13</v>
      </c>
      <c r="S93" s="47">
        <f>S91+S92</f>
        <v>25753.6</v>
      </c>
      <c r="T93" s="47"/>
      <c r="U93" s="47">
        <f>U91+U92</f>
        <v>22358.79</v>
      </c>
      <c r="V93" s="47"/>
      <c r="W93" s="47"/>
      <c r="X93" s="47"/>
      <c r="Y93" s="47"/>
      <c r="Z93" s="47"/>
      <c r="AA93" s="47"/>
      <c r="AB93" s="47"/>
      <c r="AC93" s="47">
        <f>AC91+AC92</f>
        <v>2488.88</v>
      </c>
      <c r="AD93" s="47"/>
      <c r="AE93" s="47"/>
      <c r="AF93" s="47">
        <f>AF91+AF92</f>
        <v>4223.86</v>
      </c>
      <c r="AG93" s="47"/>
      <c r="AH93" s="47"/>
      <c r="AI93" s="47"/>
      <c r="AJ93" s="47"/>
      <c r="AK93" s="47"/>
      <c r="AL93" s="48">
        <f>B93+C93+D93+E93+F93+G93+H93+I93+J93+K93+L93+M93+N93+O93+P93+Q93+R93+S93+T93+U93+V93+W93+X93+Y93+Z93+AA93+AB93+AC93+AD93+AE93+AF93+AG93+AH93+AI93+AJ93+AK93</f>
        <v>292565.18999999994</v>
      </c>
    </row>
    <row r="94" spans="1:37" ht="16">
      <c r="A94" s="35" t="s">
        <v>81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 spans="1:38" ht="16" outlineLevel="1">
      <c r="A95" s="36" t="s">
        <v>82</v>
      </c>
      <c r="B95" s="46">
        <v>645.16</v>
      </c>
      <c r="C95" s="46">
        <v>366.29</v>
      </c>
      <c r="D95" s="45"/>
      <c r="E95" s="46">
        <v>115.9</v>
      </c>
      <c r="F95" s="45"/>
      <c r="G95" s="45"/>
      <c r="H95" s="46">
        <v>1978.7</v>
      </c>
      <c r="I95" s="46">
        <v>1114.67</v>
      </c>
      <c r="J95" s="46">
        <v>64.56</v>
      </c>
      <c r="K95" s="46">
        <v>2757.29</v>
      </c>
      <c r="L95" s="45"/>
      <c r="M95" s="46">
        <v>328.35</v>
      </c>
      <c r="N95" s="46">
        <v>876.77</v>
      </c>
      <c r="O95" s="45"/>
      <c r="P95" s="45"/>
      <c r="Q95" s="46">
        <v>1286.33</v>
      </c>
      <c r="R95" s="46">
        <v>-497.03</v>
      </c>
      <c r="S95" s="45"/>
      <c r="T95" s="45"/>
      <c r="U95" s="46">
        <v>61.27</v>
      </c>
      <c r="V95" s="46">
        <v>563.61</v>
      </c>
      <c r="W95" s="46">
        <v>2337.09</v>
      </c>
      <c r="X95" s="46">
        <v>159.55</v>
      </c>
      <c r="Y95" s="46">
        <v>-71.32</v>
      </c>
      <c r="Z95" s="45"/>
      <c r="AA95" s="45"/>
      <c r="AB95" s="45"/>
      <c r="AC95" s="46">
        <v>1109.29</v>
      </c>
      <c r="AD95" s="46">
        <v>99.51</v>
      </c>
      <c r="AE95" s="46">
        <v>571.81</v>
      </c>
      <c r="AF95" s="46">
        <v>1136.09</v>
      </c>
      <c r="AG95" s="46">
        <v>1952.0</v>
      </c>
      <c r="AH95" s="46">
        <v>558.02</v>
      </c>
      <c r="AI95" s="46">
        <v>2430.86</v>
      </c>
      <c r="AJ95" s="46">
        <v>1083.38</v>
      </c>
      <c r="AK95" s="45"/>
      <c r="AL95" s="46">
        <f>B95+C95+D95+E95+F95+G95+H95+I95+J95+K95+L95+M95+N95+O95+P95+Q95+R95+S95+T95+U95+V95+W95+X95+Y95+Z95+AA95+AB95+AC95+AD95+AE95+AF95+AG95+AH95+AI95+AJ95+AK95</f>
        <v>21028.15</v>
      </c>
    </row>
    <row r="96" spans="1:38" ht="16" outlineLevel="1">
      <c r="A96" s="36" t="s">
        <v>83</v>
      </c>
      <c r="B96" s="46">
        <v>726.87</v>
      </c>
      <c r="C96" s="46">
        <v>122.12</v>
      </c>
      <c r="D96" s="46">
        <v>1255.05</v>
      </c>
      <c r="E96" s="45"/>
      <c r="F96" s="46">
        <v>36.67</v>
      </c>
      <c r="G96" s="46">
        <v>1470.3</v>
      </c>
      <c r="H96" s="46">
        <v>328.18</v>
      </c>
      <c r="I96" s="46">
        <v>313.25</v>
      </c>
      <c r="J96" s="45"/>
      <c r="K96" s="45"/>
      <c r="L96" s="46">
        <v>76.37</v>
      </c>
      <c r="M96" s="46">
        <v>1093.76</v>
      </c>
      <c r="N96" s="45"/>
      <c r="O96" s="45"/>
      <c r="P96" s="45"/>
      <c r="Q96" s="46">
        <v>1126.88</v>
      </c>
      <c r="R96" s="45"/>
      <c r="S96" s="45"/>
      <c r="T96" s="45"/>
      <c r="U96" s="45"/>
      <c r="V96" s="46">
        <v>904.5</v>
      </c>
      <c r="W96" s="46">
        <v>1893.22</v>
      </c>
      <c r="X96" s="45"/>
      <c r="Y96" s="45"/>
      <c r="Z96" s="46">
        <v>788.89</v>
      </c>
      <c r="AA96" s="46">
        <v>722.0</v>
      </c>
      <c r="AB96" s="46">
        <v>82.14</v>
      </c>
      <c r="AC96" s="46">
        <v>944.01</v>
      </c>
      <c r="AD96" s="45"/>
      <c r="AE96" s="46">
        <v>1017.57</v>
      </c>
      <c r="AF96" s="46">
        <v>2418.53</v>
      </c>
      <c r="AG96" s="46">
        <v>61.49</v>
      </c>
      <c r="AH96" s="45"/>
      <c r="AI96" s="45"/>
      <c r="AJ96" s="46">
        <v>250.0</v>
      </c>
      <c r="AK96" s="46">
        <v>2666.0</v>
      </c>
      <c r="AL96" s="46">
        <f>B96+C96+D96+E96+F96+G96+H96+I96+J96+K96+L96+M96+N96+O96+P96+Q96+R96+S96+T96+U96+V96+W96+X96+Y96+Z96+AA96+AB96+AC96+AD96+AE96+AF96+AG96+AH96+AI96+AJ96+AK96</f>
        <v>18297.8</v>
      </c>
    </row>
    <row r="97" spans="1:38" ht="16" outlineLevel="1">
      <c r="A97" s="36" t="s">
        <v>84</v>
      </c>
      <c r="B97" s="45"/>
      <c r="C97" s="45"/>
      <c r="D97" s="46">
        <v>1027.05</v>
      </c>
      <c r="E97" s="45"/>
      <c r="F97" s="46">
        <v>846.96</v>
      </c>
      <c r="G97" s="46">
        <v>3347.75</v>
      </c>
      <c r="H97" s="46">
        <v>720.59</v>
      </c>
      <c r="I97" s="45"/>
      <c r="J97" s="46">
        <v>1453.06</v>
      </c>
      <c r="K97" s="45"/>
      <c r="L97" s="46">
        <v>520.91</v>
      </c>
      <c r="M97" s="45"/>
      <c r="N97" s="46">
        <v>2523.08</v>
      </c>
      <c r="O97" s="45"/>
      <c r="P97" s="46">
        <v>468.35</v>
      </c>
      <c r="Q97" s="45"/>
      <c r="R97" s="45"/>
      <c r="S97" s="45"/>
      <c r="T97" s="45"/>
      <c r="U97" s="46">
        <v>1950.2</v>
      </c>
      <c r="V97" s="46">
        <v>200.53</v>
      </c>
      <c r="W97" s="45"/>
      <c r="X97" s="45"/>
      <c r="Y97" s="46">
        <v>261.85</v>
      </c>
      <c r="Z97" s="46">
        <v>464.66</v>
      </c>
      <c r="AA97" s="45"/>
      <c r="AB97" s="46">
        <v>5374.63</v>
      </c>
      <c r="AC97" s="46">
        <v>1354.14</v>
      </c>
      <c r="AD97" s="45"/>
      <c r="AE97" s="45"/>
      <c r="AF97" s="46">
        <v>1295.32</v>
      </c>
      <c r="AG97" s="45"/>
      <c r="AH97" s="45"/>
      <c r="AI97" s="45"/>
      <c r="AJ97" s="45"/>
      <c r="AK97" s="46">
        <v>-261.39</v>
      </c>
      <c r="AL97" s="46">
        <f>B97+C97+D97+E97+F97+G97+H97+I97+J97+K97+L97+M97+N97+O97+P97+Q97+R97+S97+T97+U97+V97+W97+X97+Y97+Z97+AA97+AB97+AC97+AD97+AE97+AF97+AG97+AH97+AI97+AJ97+AK97</f>
        <v>21547.690000000002</v>
      </c>
    </row>
    <row r="98" spans="1:38" ht="16">
      <c r="A98" s="41" t="s">
        <v>85</v>
      </c>
      <c r="B98" s="47">
        <f>B95+B96+B97</f>
        <v>1372.03</v>
      </c>
      <c r="C98" s="47">
        <f>C95+C96+C97</f>
        <v>488.41</v>
      </c>
      <c r="D98" s="47">
        <f>D95+D96+D97</f>
        <v>2282.1</v>
      </c>
      <c r="E98" s="47">
        <f>E95+E96+E97</f>
        <v>115.9</v>
      </c>
      <c r="F98" s="47">
        <f>F95+F96+F97</f>
        <v>883.63</v>
      </c>
      <c r="G98" s="47">
        <f>G95+G96+G97</f>
        <v>4818.05</v>
      </c>
      <c r="H98" s="47">
        <f>H95+H96+H97</f>
        <v>3027.4700000000003</v>
      </c>
      <c r="I98" s="47">
        <f>I95+I96+I97</f>
        <v>1427.92</v>
      </c>
      <c r="J98" s="47">
        <f>J95+J96+J97</f>
        <v>1517.62</v>
      </c>
      <c r="K98" s="47">
        <f>K95+K96+K97</f>
        <v>2757.29</v>
      </c>
      <c r="L98" s="47">
        <f>L95+L96+L97</f>
        <v>597.28</v>
      </c>
      <c r="M98" s="47">
        <f>M95+M96+M97</f>
        <v>1422.1100000000001</v>
      </c>
      <c r="N98" s="47">
        <f>N95+N96+N97</f>
        <v>3399.85</v>
      </c>
      <c r="O98" s="47"/>
      <c r="P98" s="47">
        <f>P95+P96+P97</f>
        <v>468.35</v>
      </c>
      <c r="Q98" s="47">
        <f>Q95+Q96+Q97</f>
        <v>2413.21</v>
      </c>
      <c r="R98" s="47">
        <f>R95+R96+R97</f>
        <v>-497.03</v>
      </c>
      <c r="S98" s="47"/>
      <c r="T98" s="47"/>
      <c r="U98" s="47">
        <f>U95+U96+U97</f>
        <v>2011.47</v>
      </c>
      <c r="V98" s="47">
        <f>V95+V96+V97</f>
        <v>1668.64</v>
      </c>
      <c r="W98" s="47">
        <f>W95+W96+W97</f>
        <v>4230.31</v>
      </c>
      <c r="X98" s="47">
        <f>X95+X96+X97</f>
        <v>159.55</v>
      </c>
      <c r="Y98" s="47">
        <f>Y95+Y96+Y97</f>
        <v>190.53000000000003</v>
      </c>
      <c r="Z98" s="47">
        <f>Z95+Z96+Z97</f>
        <v>1253.55</v>
      </c>
      <c r="AA98" s="47">
        <f>AA95+AA96+AA97</f>
        <v>722.0</v>
      </c>
      <c r="AB98" s="47">
        <f>AB95+AB96+AB97</f>
        <v>5456.77</v>
      </c>
      <c r="AC98" s="47">
        <f>AC95+AC96+AC97</f>
        <v>3407.4400000000005</v>
      </c>
      <c r="AD98" s="47">
        <f>AD95+AD96+AD97</f>
        <v>99.51</v>
      </c>
      <c r="AE98" s="47">
        <f>AE95+AE96+AE97</f>
        <v>1589.38</v>
      </c>
      <c r="AF98" s="47">
        <f>AF95+AF96+AF97</f>
        <v>4849.94</v>
      </c>
      <c r="AG98" s="47">
        <f>AG95+AG96+AG97</f>
        <v>2013.49</v>
      </c>
      <c r="AH98" s="47">
        <f>AH95+AH96+AH97</f>
        <v>558.02</v>
      </c>
      <c r="AI98" s="47">
        <f>AI95+AI96+AI97</f>
        <v>2430.86</v>
      </c>
      <c r="AJ98" s="47">
        <f>AJ95+AJ96+AJ97</f>
        <v>1333.38</v>
      </c>
      <c r="AK98" s="47">
        <f>AK95+AK96+AK97</f>
        <v>2404.61</v>
      </c>
      <c r="AL98" s="48">
        <f>B98+C98+D98+E98+F98+G98+H98+I98+J98+K98+L98+M98+N98+O98+P98+Q98+R98+S98+T98+U98+V98+W98+X98+Y98+Z98+AA98+AB98+AC98+AD98+AE98+AF98+AG98+AH98+AI98+AJ98+AK98</f>
        <v>60873.64000000001</v>
      </c>
    </row>
    <row r="99" spans="1:38" ht="16">
      <c r="A99" s="41" t="s">
        <v>86</v>
      </c>
      <c r="B99" s="47">
        <f>B93-B98</f>
        <v>-1372.03</v>
      </c>
      <c r="C99" s="47">
        <f>C93-C98</f>
        <v>-488.41</v>
      </c>
      <c r="D99" s="47">
        <f>D93-D98</f>
        <v>1214.1100000000001</v>
      </c>
      <c r="E99" s="47">
        <f>E93-E98</f>
        <v>21468.949999999997</v>
      </c>
      <c r="F99" s="47">
        <f>F93-F98</f>
        <v>-883.63</v>
      </c>
      <c r="G99" s="47">
        <f>G93-G98</f>
        <v>31544.23</v>
      </c>
      <c r="H99" s="47">
        <f>H93-H98</f>
        <v>-3027.4700000000003</v>
      </c>
      <c r="I99" s="47">
        <f>I93-I98</f>
        <v>27695.879999999997</v>
      </c>
      <c r="J99" s="47">
        <f>J93-J98</f>
        <v>-1517.62</v>
      </c>
      <c r="K99" s="47">
        <f>K93-K98</f>
        <v>58382.049999999996</v>
      </c>
      <c r="L99" s="47">
        <f>L93-L98</f>
        <v>2680.99</v>
      </c>
      <c r="M99" s="47">
        <f>M93-M98</f>
        <v>9797.49</v>
      </c>
      <c r="N99" s="47">
        <f>N93-N98</f>
        <v>-3399.85</v>
      </c>
      <c r="O99" s="47"/>
      <c r="P99" s="47">
        <f>P93-P98</f>
        <v>18018.510000000002</v>
      </c>
      <c r="Q99" s="47">
        <f>Q93-Q98</f>
        <v>8444.509999999998</v>
      </c>
      <c r="R99" s="47">
        <f>R93-R98</f>
        <v>42688.159999999996</v>
      </c>
      <c r="S99" s="47">
        <f>S93-S98</f>
        <v>25753.6</v>
      </c>
      <c r="T99" s="47"/>
      <c r="U99" s="47">
        <f>U93-U98</f>
        <v>20347.32</v>
      </c>
      <c r="V99" s="47">
        <f>V93-V98</f>
        <v>-1668.64</v>
      </c>
      <c r="W99" s="47">
        <f>W93-W98</f>
        <v>-4230.31</v>
      </c>
      <c r="X99" s="47">
        <f>X93-X98</f>
        <v>-159.55</v>
      </c>
      <c r="Y99" s="47">
        <f>Y93-Y98</f>
        <v>-190.53000000000003</v>
      </c>
      <c r="Z99" s="47">
        <f>Z93-Z98</f>
        <v>-1253.55</v>
      </c>
      <c r="AA99" s="47">
        <f>AA93-AA98</f>
        <v>-722.0</v>
      </c>
      <c r="AB99" s="47">
        <f>AB93-AB98</f>
        <v>-5456.77</v>
      </c>
      <c r="AC99" s="47">
        <f>AC93-AC98</f>
        <v>-918.5600000000004</v>
      </c>
      <c r="AD99" s="47">
        <f>AD93-AD98</f>
        <v>-99.51</v>
      </c>
      <c r="AE99" s="47">
        <f>AE93-AE98</f>
        <v>-1589.38</v>
      </c>
      <c r="AF99" s="47">
        <f>AF93-AF98</f>
        <v>-626.0799999999999</v>
      </c>
      <c r="AG99" s="47">
        <f>AG93-AG98</f>
        <v>-2013.49</v>
      </c>
      <c r="AH99" s="47">
        <f>AH93-AH98</f>
        <v>-558.02</v>
      </c>
      <c r="AI99" s="47">
        <f>AI93-AI98</f>
        <v>-2430.86</v>
      </c>
      <c r="AJ99" s="47">
        <f>AJ93-AJ98</f>
        <v>-1333.38</v>
      </c>
      <c r="AK99" s="47">
        <f>AK93-AK98</f>
        <v>-2404.61</v>
      </c>
      <c r="AL99" s="48">
        <f>B99+C99+D99+E99+F99+G99+H99+I99+J99+K99+L99+M99+N99+O99+P99+Q99+R99+S99+T99+U99+V99+W99+X99+Y99+Z99+AA99+AB99+AC99+AD99+AE99+AF99+AG99+AH99+AI99+AJ99+AK99</f>
        <v>231691.55000000008</v>
      </c>
    </row>
    <row r="100" spans="1:38" ht="16">
      <c r="A100" s="41" t="s">
        <v>87</v>
      </c>
      <c r="B100" s="47">
        <f>B89+B99</f>
        <v>3809.8900000000003</v>
      </c>
      <c r="C100" s="47">
        <f>C89+C99</f>
        <v>12294.740000000002</v>
      </c>
      <c r="D100" s="47">
        <f>D89+D99</f>
        <v>28603.940000000002</v>
      </c>
      <c r="E100" s="47">
        <f>E89+E99</f>
        <v>123179.37999999999</v>
      </c>
      <c r="F100" s="47">
        <f>F89+F99</f>
        <v>107361.35999999999</v>
      </c>
      <c r="G100" s="47">
        <f>G89+G99</f>
        <v>42304.09</v>
      </c>
      <c r="H100" s="47">
        <f>H89+H99</f>
        <v>156309.74</v>
      </c>
      <c r="I100" s="47">
        <f>I89+I99</f>
        <v>73793.53</v>
      </c>
      <c r="J100" s="47">
        <f>J89+J99</f>
        <v>126729.11</v>
      </c>
      <c r="K100" s="47">
        <f>K89+K99</f>
        <v>98612.35999999999</v>
      </c>
      <c r="L100" s="47">
        <f>L89+L99</f>
        <v>42357.76</v>
      </c>
      <c r="M100" s="47">
        <f>M89+M99</f>
        <v>9388.309999999992</v>
      </c>
      <c r="N100" s="47">
        <f>N89+N99</f>
        <v>32645.65</v>
      </c>
      <c r="O100" s="47">
        <f>O89+O99</f>
        <v>29285.840000000004</v>
      </c>
      <c r="P100" s="47">
        <f>P89+P99</f>
        <v>36991.93000000001</v>
      </c>
      <c r="Q100" s="47">
        <f>Q89+Q99</f>
        <v>79366.18</v>
      </c>
      <c r="R100" s="47">
        <f>R89+R99</f>
        <v>79367.54000000001</v>
      </c>
      <c r="S100" s="47">
        <f>S89+S99</f>
        <v>85060.31999999999</v>
      </c>
      <c r="T100" s="47">
        <f>T89+T99</f>
        <v>131819.3</v>
      </c>
      <c r="U100" s="47">
        <f>U89+U99</f>
        <v>106594.19999999998</v>
      </c>
      <c r="V100" s="47">
        <f>V89+V99</f>
        <v>80907.27</v>
      </c>
      <c r="W100" s="47">
        <f>W89+W99</f>
        <v>113745.35999999999</v>
      </c>
      <c r="X100" s="47">
        <f>X89+X99</f>
        <v>33659.630000000005</v>
      </c>
      <c r="Y100" s="47">
        <f>Y89+Y99</f>
        <v>-508.39000000000425</v>
      </c>
      <c r="Z100" s="47">
        <f>Z89+Z99</f>
        <v>21176.530000000006</v>
      </c>
      <c r="AA100" s="47">
        <f>AA89+AA99</f>
        <v>29744.009999999995</v>
      </c>
      <c r="AB100" s="47">
        <f>AB89+AB99</f>
        <v>47713.39</v>
      </c>
      <c r="AC100" s="47">
        <f>AC89+AC99</f>
        <v>22660.580000000005</v>
      </c>
      <c r="AD100" s="47">
        <f>AD89+AD99</f>
        <v>83528.25000000001</v>
      </c>
      <c r="AE100" s="47">
        <f>AE89+AE99</f>
        <v>166624.68</v>
      </c>
      <c r="AF100" s="47">
        <f>AF89+AF99</f>
        <v>8984.139999999998</v>
      </c>
      <c r="AG100" s="47">
        <f>AG89+AG99</f>
        <v>39280.82</v>
      </c>
      <c r="AH100" s="47">
        <f>AH89+AH99</f>
        <v>51214.510000000024</v>
      </c>
      <c r="AI100" s="47">
        <f>AI89+AI99</f>
        <v>8230.659999999993</v>
      </c>
      <c r="AJ100" s="47">
        <f>AJ89+AJ99</f>
        <v>25888.36</v>
      </c>
      <c r="AK100" s="47">
        <f>AK89+AK99</f>
        <v>21058.460000000003</v>
      </c>
      <c r="AL100" s="48">
        <f>B100+C100+D100+E100+F100+G100+H100+I100+J100+K100+L100+M100+N100+O100+P100+Q100+R100+S100+T100+U100+V100+W100+X100+Y100+Z100+AA100+AB100+AC100+AD100+AE100+AF100+AG100+AH100+AI100+AJ100+AK100</f>
        <v>2159783.43</v>
      </c>
    </row>
    <row r="104" spans="1:1" ht="16">
      <c r="A104" s="49" t="s">
        <v>126</v>
      </c>
    </row>
  </sheetData>
  <mergeCells count="4">
    <mergeCell ref="A1:AL1"/>
    <mergeCell ref="A2:AL2"/>
    <mergeCell ref="A3:AL3"/>
    <mergeCell ref="A104:AL10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