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24" i="1" l="1"/>
</calcChain>
</file>

<file path=xl/sharedStrings.xml><?xml version="1.0" encoding="utf-8"?>
<sst xmlns="http://schemas.openxmlformats.org/spreadsheetml/2006/main" count="61" uniqueCount="61">
  <si>
    <t>Statement of Cash Flows</t>
  </si>
  <si>
    <t>Sandbox Company_US_2</t>
  </si>
  <si>
    <t>January 1, 2023-December 31, 2025</t>
  </si>
  <si>
    <t>OPERATING ACTIVITIES</t>
  </si>
  <si>
    <t>Net Income</t>
  </si>
  <si>
    <t>Adjustments to reconcile Net Income to Net Cash provided by operations:</t>
  </si>
  <si>
    <t>Accounts Payable (A/P)</t>
  </si>
  <si>
    <t>Accounts Receivable (A/R)</t>
  </si>
  <si>
    <t>Arizona Dept. of Revenue Payable</t>
  </si>
  <si>
    <t>Board of Equalization Payable</t>
  </si>
  <si>
    <t>Loan Payable</t>
  </si>
  <si>
    <t>Mastercard</t>
  </si>
  <si>
    <t>Total for Adjustments to reconcile Net Income to Net Cash provided by operations:</t>
  </si>
  <si>
    <t>Net cash provided by operating activities</t>
  </si>
  <si>
    <t>INVESTING ACTIVITIES</t>
  </si>
  <si>
    <t>Truck:Original Cost</t>
  </si>
  <si>
    <t>Net cash provided by investing activities</t>
  </si>
  <si>
    <t>FINANCING ACTIVITIES</t>
  </si>
  <si>
    <t>Notes Payable</t>
  </si>
  <si>
    <t>Opening Balance Equity</t>
  </si>
  <si>
    <t>Net cash provided by financing activities</t>
  </si>
  <si>
    <t>NET CASH INCREASE FOR PERIOD</t>
  </si>
  <si>
    <t>Full name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</si>
  <si>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</si>
  <si>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</si>
  <si>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</si>
  <si>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</si>
  <si>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</si>
  <si>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</si>
  <si>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</si>
  <si>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</si>
  <si>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</si>
  <si>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</si>
  <si>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</si>
  <si>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</si>
  <si>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</si>
  <si>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</si>
  <si>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</si>
  <si>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</si>
  <si>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</si>
  <si>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</si>
  <si>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</si>
  <si>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</si>
  <si>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</si>
  <si>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</si>
  <si>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</si>
  <si>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</si>
  <si>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</si>
  <si>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</si>
  <si>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</si>
  <si>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</si>
  <si>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</si>
  <si>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</si>
  <si>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</si>
  <si>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</si>
  <si>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</si>
  <si>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</si>
  <si>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</si>
  <si>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</si>
  <si>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Total</t>
  </si>
  <si>
    <t xml:space="preserve"> Wednesday, March 04, 2026 11:01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</si>
</sst>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4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3" fillId="0" borderId="0" xfId="0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AL28"/>
  <sheetViews>
    <sheetView tabSelected="1" workbookViewId="0" topLeftCell="A1"/>
  </sheetViews>
  <sheetFormatPr defaultColWidth="11.255" defaultRowHeight="16" outlineLevelRow="2"/>
  <cols>
    <col min="1" max="1" width="70.25" style="36" customWidth="1"/>
    <col min="2" max="2" width="11" style="36" customWidth="1"/>
    <col min="3" max="3" width="16.125" style="36" customWidth="1"/>
    <col min="4" max="4" width="15.25" style="36" customWidth="1"/>
    <col min="5" max="5" width="16.125" style="36" customWidth="1"/>
    <col min="6" max="6" width="15.25" style="36" customWidth="1"/>
    <col min="7" max="8" width="16.125" style="36" customWidth="1"/>
    <col min="9" max="9" width="10.125" style="36" customWidth="1"/>
    <col min="10" max="10" width="12.625" style="36" customWidth="1"/>
    <col min="11" max="11" width="11" style="36" customWidth="1"/>
    <col min="12" max="12" width="16.125" style="36" customWidth="1"/>
    <col min="13" max="13" width="15.25" style="36" customWidth="1"/>
    <col min="14" max="14" width="17" style="36" customWidth="1"/>
    <col min="15" max="15" width="11.75" style="36" customWidth="1"/>
    <col min="16" max="17" width="15.25" style="36" customWidth="1"/>
    <col min="18" max="19" width="16.125" style="36" customWidth="1"/>
    <col min="20" max="20" width="8.375" style="36" customWidth="1"/>
    <col min="21" max="21" width="10.125" style="36" customWidth="1"/>
    <col min="22" max="22" width="12.625" style="36" customWidth="1"/>
    <col min="23" max="24" width="16.125" style="36" customWidth="1"/>
    <col min="25" max="25" width="17" style="36" customWidth="1"/>
    <col min="26" max="27" width="16.125" style="36" customWidth="1"/>
    <col min="28" max="28" width="15.25" style="36" customWidth="1"/>
    <col min="29" max="32" width="16.125" style="36" customWidth="1"/>
    <col min="33" max="33" width="10.125" style="36" customWidth="1"/>
    <col min="34" max="35" width="16.125" style="36" customWidth="1"/>
    <col min="36" max="36" width="17" style="36" customWidth="1"/>
    <col min="37" max="38" width="16.125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38" ht="16">
      <c r="A5" s="38" t="s">
        <v>22</v>
      </c>
      <c r="B5" s="38" t="s">
        <v>23</v>
      </c>
      <c r="C5" s="38" t="s">
        <v>24</v>
      </c>
      <c r="D5" s="38" t="s">
        <v>25</v>
      </c>
      <c r="E5" s="38" t="s">
        <v>26</v>
      </c>
      <c r="F5" s="38" t="s">
        <v>27</v>
      </c>
      <c r="G5" s="38" t="s">
        <v>28</v>
      </c>
      <c r="H5" s="38" t="s">
        <v>29</v>
      </c>
      <c r="I5" s="38" t="s">
        <v>30</v>
      </c>
      <c r="J5" s="38" t="s">
        <v>31</v>
      </c>
      <c r="K5" s="38" t="s">
        <v>32</v>
      </c>
      <c r="L5" s="38" t="s">
        <v>33</v>
      </c>
      <c r="M5" s="38" t="s">
        <v>34</v>
      </c>
      <c r="N5" s="38" t="s">
        <v>35</v>
      </c>
      <c r="O5" s="38" t="s">
        <v>36</v>
      </c>
      <c r="P5" s="38" t="s">
        <v>37</v>
      </c>
      <c r="Q5" s="38" t="s">
        <v>38</v>
      </c>
      <c r="R5" s="38" t="s">
        <v>39</v>
      </c>
      <c r="S5" s="38" t="s">
        <v>40</v>
      </c>
      <c r="T5" s="38" t="s">
        <v>41</v>
      </c>
      <c r="U5" s="38" t="s">
        <v>42</v>
      </c>
      <c r="V5" s="38" t="s">
        <v>43</v>
      </c>
      <c r="W5" s="38" t="s">
        <v>44</v>
      </c>
      <c r="X5" s="38" t="s">
        <v>45</v>
      </c>
      <c r="Y5" s="38" t="s">
        <v>46</v>
      </c>
      <c r="Z5" s="38" t="s">
        <v>47</v>
      </c>
      <c r="AA5" s="38" t="s">
        <v>48</v>
      </c>
      <c r="AB5" s="38" t="s">
        <v>49</v>
      </c>
      <c r="AC5" s="38" t="s">
        <v>50</v>
      </c>
      <c r="AD5" s="38" t="s">
        <v>51</v>
      </c>
      <c r="AE5" s="38" t="s">
        <v>52</v>
      </c>
      <c r="AF5" s="38" t="s">
        <v>53</v>
      </c>
      <c r="AG5" s="38" t="s">
        <v>54</v>
      </c>
      <c r="AH5" s="38" t="s">
        <v>55</v>
      </c>
      <c r="AI5" s="38" t="s">
        <v>56</v>
      </c>
      <c r="AJ5" s="38" t="s">
        <v>57</v>
      </c>
      <c r="AK5" s="38" t="s">
        <v>58</v>
      </c>
      <c r="AL5" s="38" t="s">
        <v>59</v>
      </c>
    </row>
    <row r="6" spans="1:1" ht="16">
      <c r="A6" s="31" t="s">
        <v>3</v>
      </c>
    </row>
    <row r="7" spans="1:38" ht="16" outlineLevel="1">
      <c r="A7" s="32" t="s">
        <v>4</v>
      </c>
      <c r="B7" s="39">
        <v>3809.89</v>
      </c>
      <c r="C7" s="39">
        <v>12294.740000000002</v>
      </c>
      <c r="D7" s="39">
        <v>28603.93999999999</v>
      </c>
      <c r="E7" s="39">
        <v>123179.37999999999</v>
      </c>
      <c r="F7" s="39">
        <v>107361.36</v>
      </c>
      <c r="G7" s="39">
        <v>42304.090000000004</v>
      </c>
      <c r="H7" s="39">
        <v>156309.74</v>
      </c>
      <c r="I7" s="39">
        <v>73793.53</v>
      </c>
      <c r="J7" s="39">
        <v>126729.11</v>
      </c>
      <c r="K7" s="39">
        <v>98612.36</v>
      </c>
      <c r="L7" s="39">
        <v>42357.759999999995</v>
      </c>
      <c r="M7" s="39">
        <v>9388.31</v>
      </c>
      <c r="N7" s="39">
        <v>32645.650000000005</v>
      </c>
      <c r="O7" s="39">
        <v>29285.84</v>
      </c>
      <c r="P7" s="39">
        <v>36991.92999999999</v>
      </c>
      <c r="Q7" s="39">
        <v>79366.17999999996</v>
      </c>
      <c r="R7" s="39">
        <v>79367.54</v>
      </c>
      <c r="S7" s="39">
        <v>85060.31999999999</v>
      </c>
      <c r="T7" s="39">
        <v>131819.3</v>
      </c>
      <c r="U7" s="39">
        <v>106594.2</v>
      </c>
      <c r="V7" s="39">
        <v>80907.27</v>
      </c>
      <c r="W7" s="39">
        <v>113745.35999999997</v>
      </c>
      <c r="X7" s="39">
        <v>33659.630000000005</v>
      </c>
      <c r="Y7" s="39">
        <v>-508.39000000000067</v>
      </c>
      <c r="Z7" s="39">
        <v>21176.530000000006</v>
      </c>
      <c r="AA7" s="39">
        <v>29744.010000000006</v>
      </c>
      <c r="AB7" s="39">
        <v>47713.38999999999</v>
      </c>
      <c r="AC7" s="39">
        <v>22660.58</v>
      </c>
      <c r="AD7" s="39">
        <v>83528.25</v>
      </c>
      <c r="AE7" s="39">
        <v>166624.68</v>
      </c>
      <c r="AF7" s="39">
        <v>8984.140000000003</v>
      </c>
      <c r="AG7" s="39">
        <v>39280.82</v>
      </c>
      <c r="AH7" s="39">
        <v>51214.509999999995</v>
      </c>
      <c r="AI7" s="39">
        <v>8230.660000000002</v>
      </c>
      <c r="AJ7" s="39">
        <v>25888.36000000001</v>
      </c>
      <c r="AK7" s="39">
        <v>21058.459999999995</v>
      </c>
      <c r="AL7" s="39">
        <f>B7+C7+D7+E7+F7+G7+H7+I7+J7+K7+L7+M7+N7+O7+P7+Q7+R7+S7+T7+U7+V7+W7+X7+Y7+Z7+AA7+AB7+AC7+AD7+AE7+AF7+AG7+AH7+AI7+AJ7+AK7</f>
        <v>2159783.43</v>
      </c>
    </row>
    <row r="8" spans="1:1" ht="16" outlineLevel="1">
      <c r="A8" s="32" t="s">
        <v>5</v>
      </c>
    </row>
    <row r="9" spans="1:38" ht="16" outlineLevel="2">
      <c r="A9" s="33" t="s">
        <v>6</v>
      </c>
      <c r="B9" s="39">
        <v>-194.15</v>
      </c>
      <c r="C9" s="39">
        <v>1426.84</v>
      </c>
      <c r="D9" s="39">
        <v>3350.95</v>
      </c>
      <c r="E9" s="39">
        <v>9885.69</v>
      </c>
      <c r="F9" s="39">
        <v>4704.94</v>
      </c>
      <c r="G9" s="39">
        <v>6239.97</v>
      </c>
      <c r="H9" s="39">
        <v>1173.37</v>
      </c>
      <c r="I9" s="39">
        <v>669.33</v>
      </c>
      <c r="J9" s="39">
        <v>1017.82</v>
      </c>
      <c r="K9" s="39">
        <v>3793.64</v>
      </c>
      <c r="L9" s="39">
        <v>-4642.23</v>
      </c>
      <c r="M9" s="39">
        <v>-3215.71</v>
      </c>
      <c r="N9" s="39">
        <v>-7888.8</v>
      </c>
      <c r="O9" s="39">
        <v>-3551.13</v>
      </c>
      <c r="P9" s="39">
        <v>1890.33</v>
      </c>
      <c r="Q9" s="39">
        <v>3710.01</v>
      </c>
      <c r="R9" s="39">
        <v>7544.11</v>
      </c>
      <c r="S9" s="39">
        <v>18281.83</v>
      </c>
      <c r="T9" s="39">
        <v>6743.36</v>
      </c>
      <c r="U9" s="39">
        <v>10512.75</v>
      </c>
      <c r="V9" s="39">
        <v>-1346.96</v>
      </c>
      <c r="W9" s="39">
        <v>3090.62</v>
      </c>
      <c r="X9" s="39">
        <v>-9867.26</v>
      </c>
      <c r="Y9" s="39">
        <v>-5048.98</v>
      </c>
      <c r="Z9" s="39">
        <v>-6041.95</v>
      </c>
      <c r="AA9" s="39">
        <v>-1045.89</v>
      </c>
      <c r="AB9" s="39">
        <v>566.23</v>
      </c>
      <c r="AC9" s="39">
        <v>1733.95</v>
      </c>
      <c r="AD9" s="39">
        <v>11167.62</v>
      </c>
      <c r="AE9" s="39">
        <v>6616.69</v>
      </c>
      <c r="AF9" s="39">
        <v>5527.72</v>
      </c>
      <c r="AG9" s="39">
        <v>14667.58</v>
      </c>
      <c r="AH9" s="39">
        <v>4323.0</v>
      </c>
      <c r="AI9" s="39">
        <v>-1360.5</v>
      </c>
      <c r="AJ9" s="39">
        <v>-6267.85</v>
      </c>
      <c r="AK9" s="39">
        <v>-2356.62</v>
      </c>
      <c r="AL9" s="39">
        <f>B9+C9+D9+E9+F9+G9+H9+I9+J9+K9+L9+M9+N9+O9+P9+Q9+R9+S9+T9+U9+V9+W9+X9+Y9+Z9+AA9+AB9+AC9+AD9+AE9+AF9+AG9+AH9+AI9+AJ9+AK9</f>
        <v>75810.32000000002</v>
      </c>
    </row>
    <row r="10" spans="1:38" ht="16" outlineLevel="2">
      <c r="A10" s="33" t="s">
        <v>7</v>
      </c>
      <c r="B10" s="39">
        <v>2456.12</v>
      </c>
      <c r="C10" s="39">
        <v>721.64</v>
      </c>
      <c r="D10" s="39">
        <v>3065.91</v>
      </c>
      <c r="E10" s="39">
        <v>5545.79</v>
      </c>
      <c r="F10" s="39">
        <v>3068.45</v>
      </c>
      <c r="G10" s="39">
        <v>4535.6</v>
      </c>
      <c r="H10" s="39">
        <v>7842.65</v>
      </c>
      <c r="I10" s="39">
        <v>1078.07</v>
      </c>
      <c r="J10" s="39">
        <v>3678.29</v>
      </c>
      <c r="K10" s="39">
        <v>5762.34</v>
      </c>
      <c r="L10" s="39">
        <v>6552.38</v>
      </c>
      <c r="M10" s="39">
        <v>3750.97</v>
      </c>
      <c r="N10" s="39">
        <v>4053.08</v>
      </c>
      <c r="O10" s="39">
        <v>2643.11</v>
      </c>
      <c r="P10" s="39">
        <v>3759.51</v>
      </c>
      <c r="Q10" s="39">
        <v>5425.89</v>
      </c>
      <c r="R10" s="39">
        <v>4810.4</v>
      </c>
      <c r="S10" s="39">
        <v>3431.36</v>
      </c>
      <c r="T10" s="39">
        <v>7679.39</v>
      </c>
      <c r="U10" s="39">
        <v>4188.68</v>
      </c>
      <c r="V10" s="39">
        <v>4122.01</v>
      </c>
      <c r="W10" s="39">
        <v>4427.54</v>
      </c>
      <c r="X10" s="39">
        <v>4779.94</v>
      </c>
      <c r="Y10" s="39">
        <v>4004.15</v>
      </c>
      <c r="Z10" s="39">
        <v>528.21</v>
      </c>
      <c r="AA10" s="39">
        <v>-583.13</v>
      </c>
      <c r="AB10" s="39">
        <v>3678.84</v>
      </c>
      <c r="AC10" s="39">
        <v>995.2</v>
      </c>
      <c r="AD10" s="39">
        <v>4944.51</v>
      </c>
      <c r="AE10" s="39">
        <v>5000.42</v>
      </c>
      <c r="AF10" s="39">
        <v>7555.51</v>
      </c>
      <c r="AG10" s="39">
        <v>3209.27</v>
      </c>
      <c r="AH10" s="39">
        <v>3889.79</v>
      </c>
      <c r="AI10" s="39">
        <v>3390.63</v>
      </c>
      <c r="AJ10" s="39">
        <v>4732.28</v>
      </c>
      <c r="AK10" s="39">
        <v>-836.48</v>
      </c>
      <c r="AL10" s="39">
        <f>B10+C10+D10+E10+F10+G10+H10+I10+J10+K10+L10+M10+N10+O10+P10+Q10+R10+S10+T10+U10+V10+W10+X10+Y10+Z10+AA10+AB10+AC10+AD10+AE10+AF10+AG10+AH10+AI10+AJ10+AK10</f>
        <v>137888.31999999995</v>
      </c>
    </row>
    <row r="11" spans="1:38" ht="16" outlineLevel="2">
      <c r="A11" s="33" t="s">
        <v>8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39">
        <v>0</v>
      </c>
      <c r="AK11" s="40"/>
      <c r="AL11" s="39">
        <f>B11+C11+D11+E11+F11+G11+H11+I11+J11+K11+L11+M11+N11+O11+P11+Q11+R11+S11+T11+U11+V11+W11+X11+Y11+Z11+AA11+AB11+AC11+AD11+AE11+AF11+AG11+AH11+AI11+AJ11+AK11</f>
        <v>0.0</v>
      </c>
    </row>
    <row r="12" spans="1:38" ht="16" outlineLevel="2">
      <c r="A12" s="33" t="s">
        <v>9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39">
        <v>10.5</v>
      </c>
      <c r="AI12" s="39">
        <v>22.0</v>
      </c>
      <c r="AJ12" s="39">
        <v>-26.1</v>
      </c>
      <c r="AK12" s="39">
        <v>314.44</v>
      </c>
      <c r="AL12" s="39">
        <f>B12+C12+D12+E12+F12+G12+H12+I12+J12+K12+L12+M12+N12+O12+P12+Q12+R12+S12+T12+U12+V12+W12+X12+Y12+Z12+AA12+AB12+AC12+AD12+AE12+AF12+AG12+AH12+AI12+AJ12+AK12</f>
        <v>320.84</v>
      </c>
    </row>
    <row r="13" spans="1:38" ht="16" outlineLevel="2">
      <c r="A13" s="33" t="s">
        <v>10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39">
        <v>4000.0</v>
      </c>
      <c r="AL13" s="39">
        <f>B13+C13+D13+E13+F13+G13+H13+I13+J13+K13+L13+M13+N13+O13+P13+Q13+R13+S13+T13+U13+V13+W13+X13+Y13+Z13+AA13+AB13+AC13+AD13+AE13+AF13+AG13+AH13+AI13+AJ13+AK13</f>
        <v>4000.0</v>
      </c>
    </row>
    <row r="14" spans="1:38" ht="16" outlineLevel="2">
      <c r="A14" s="33" t="s">
        <v>11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39">
        <v>158.08</v>
      </c>
      <c r="AJ14" s="40"/>
      <c r="AK14" s="39">
        <v>551.68</v>
      </c>
      <c r="AL14" s="39">
        <f>B14+C14+D14+E14+F14+G14+H14+I14+J14+K14+L14+M14+N14+O14+P14+Q14+R14+S14+T14+U14+V14+W14+X14+Y14+Z14+AA14+AB14+AC14+AD14+AE14+AF14+AG14+AH14+AI14+AJ14+AK14</f>
        <v>709.76</v>
      </c>
    </row>
    <row r="15" spans="1:38" ht="16" outlineLevel="1">
      <c r="A15" s="34" t="s">
        <v>12</v>
      </c>
      <c r="B15" s="41">
        <f>B8+B9+B10+B11+B12+B13+B14</f>
        <v>2261.97</v>
      </c>
      <c r="C15" s="41">
        <f>C8+C9+C10+C11+C12+C13+C14</f>
        <v>2148.48</v>
      </c>
      <c r="D15" s="41">
        <f>D8+D9+D10+D11+D12+D13+D14</f>
        <v>6416.86</v>
      </c>
      <c r="E15" s="41">
        <f>E8+E9+E10+E11+E12+E13+E14</f>
        <v>15431.48</v>
      </c>
      <c r="F15" s="41">
        <f>F8+F9+F10+F11+F12+F13+F14</f>
        <v>7773.389999999999</v>
      </c>
      <c r="G15" s="41">
        <f>G8+G9+G10+G11+G12+G13+G14</f>
        <v>10775.57</v>
      </c>
      <c r="H15" s="41">
        <f>H8+H9+H10+H11+H12+H13+H14</f>
        <v>9016.02</v>
      </c>
      <c r="I15" s="41">
        <f>I8+I9+I10+I11+I12+I13+I14</f>
        <v>1747.4</v>
      </c>
      <c r="J15" s="41">
        <f>J8+J9+J10+J11+J12+J13+J14</f>
        <v>4696.11</v>
      </c>
      <c r="K15" s="41">
        <f>K8+K9+K10+K11+K12+K13+K14</f>
        <v>9555.98</v>
      </c>
      <c r="L15" s="41">
        <f>L8+L9+L10+L11+L12+L13+L14</f>
        <v>1910.1500000000005</v>
      </c>
      <c r="M15" s="41">
        <f>M8+M9+M10+M11+M12+M13+M14</f>
        <v>535.2599999999998</v>
      </c>
      <c r="N15" s="41">
        <f>N8+N9+N10+N11+N12+N13+N14</f>
        <v>-3835.7200000000003</v>
      </c>
      <c r="O15" s="41">
        <f>O8+O9+O10+O11+O12+O13+O14</f>
        <v>-908.02</v>
      </c>
      <c r="P15" s="41">
        <f>P8+P9+P10+P11+P12+P13+P14</f>
        <v>5649.84</v>
      </c>
      <c r="Q15" s="41">
        <f>Q8+Q9+Q10+Q11+Q12+Q13+Q14</f>
        <v>9135.900000000001</v>
      </c>
      <c r="R15" s="41">
        <f>R8+R9+R10+R11+R12+R13+R14</f>
        <v>12354.509999999998</v>
      </c>
      <c r="S15" s="41">
        <f>S8+S9+S10+S11+S12+S13+S14</f>
        <v>21713.190000000002</v>
      </c>
      <c r="T15" s="41">
        <f>T8+T9+T10+T11+T12+T13+T14</f>
        <v>14422.75</v>
      </c>
      <c r="U15" s="41">
        <f>U8+U9+U10+U11+U12+U13+U14</f>
        <v>14701.43</v>
      </c>
      <c r="V15" s="41">
        <f>V8+V9+V10+V11+V12+V13+V14</f>
        <v>2775.05</v>
      </c>
      <c r="W15" s="41">
        <f>W8+W9+W10+W11+W12+W13+W14</f>
        <v>7518.16</v>
      </c>
      <c r="X15" s="41">
        <f>X8+X9+X10+X11+X12+X13+X14</f>
        <v>-5087.320000000001</v>
      </c>
      <c r="Y15" s="41">
        <f>Y8+Y9+Y10+Y11+Y12+Y13+Y14</f>
        <v>-1044.8299999999995</v>
      </c>
      <c r="Z15" s="41">
        <f>Z8+Z9+Z10+Z11+Z12+Z13+Z14</f>
        <v>-5513.74</v>
      </c>
      <c r="AA15" s="41">
        <f>AA8+AA9+AA10+AA11+AA12+AA13+AA14</f>
        <v>-1629.02</v>
      </c>
      <c r="AB15" s="41">
        <f>AB8+AB9+AB10+AB11+AB12+AB13+AB14</f>
        <v>4245.07</v>
      </c>
      <c r="AC15" s="41">
        <f>AC8+AC9+AC10+AC11+AC12+AC13+AC14</f>
        <v>2729.15</v>
      </c>
      <c r="AD15" s="41">
        <f>AD8+AD9+AD10+AD11+AD12+AD13+AD14</f>
        <v>16112.130000000001</v>
      </c>
      <c r="AE15" s="41">
        <f>AE8+AE9+AE10+AE11+AE12+AE13+AE14</f>
        <v>11617.11</v>
      </c>
      <c r="AF15" s="41">
        <f>AF8+AF9+AF10+AF11+AF12+AF13+AF14</f>
        <v>13083.23</v>
      </c>
      <c r="AG15" s="41">
        <f>AG8+AG9+AG10+AG11+AG12+AG13+AG14</f>
        <v>17876.85</v>
      </c>
      <c r="AH15" s="41">
        <f>AH8+AH9+AH10+AH11+AH12+AH13+AH14</f>
        <v>8223.29</v>
      </c>
      <c r="AI15" s="41">
        <f>AI8+AI9+AI10+AI11+AI12+AI13+AI14</f>
        <v>2210.21</v>
      </c>
      <c r="AJ15" s="41">
        <f>AJ8+AJ9+AJ10+AJ11+AJ12+AJ13+AJ14</f>
        <v>-1561.6700000000005</v>
      </c>
      <c r="AK15" s="41">
        <f>AK8+AK9+AK10+AK11+AK12+AK13+AK14</f>
        <v>1673.02</v>
      </c>
      <c r="AL15" s="42">
        <f>B15+C15+D15+E15+F15+G15+H15+I15+J15+K15+L15+M15+N15+O15+P15+Q15+R15+S15+T15+U15+V15+W15+X15+Y15+Z15+AA15+AB15+AC15+AD15+AE15+AF15+AG15+AH15+AI15+AJ15+AK15</f>
        <v>218729.24</v>
      </c>
    </row>
    <row r="16" spans="1:38" ht="16">
      <c r="A16" s="35" t="s">
        <v>13</v>
      </c>
      <c r="B16" s="41">
        <f>B7+B15</f>
        <v>6071.86</v>
      </c>
      <c r="C16" s="41">
        <f>C7+C15</f>
        <v>14443.220000000001</v>
      </c>
      <c r="D16" s="41">
        <f>D7+D15</f>
        <v>35020.79999999999</v>
      </c>
      <c r="E16" s="41">
        <f>E7+E15</f>
        <v>138610.86</v>
      </c>
      <c r="F16" s="41">
        <f>F7+F15</f>
        <v>115134.75</v>
      </c>
      <c r="G16" s="41">
        <f>G7+G15</f>
        <v>53079.66</v>
      </c>
      <c r="H16" s="41">
        <f>H7+H15</f>
        <v>165325.75999999998</v>
      </c>
      <c r="I16" s="41">
        <f>I7+I15</f>
        <v>75540.93</v>
      </c>
      <c r="J16" s="41">
        <f>J7+J15</f>
        <v>131425.22</v>
      </c>
      <c r="K16" s="41">
        <f>K7+K15</f>
        <v>108168.34</v>
      </c>
      <c r="L16" s="41">
        <f>L7+L15</f>
        <v>44267.909999999996</v>
      </c>
      <c r="M16" s="41">
        <f>M7+M15</f>
        <v>9923.57</v>
      </c>
      <c r="N16" s="41">
        <f>N7+N15</f>
        <v>28809.930000000004</v>
      </c>
      <c r="O16" s="41">
        <f>O7+O15</f>
        <v>28377.82</v>
      </c>
      <c r="P16" s="41">
        <f>P7+P15</f>
        <v>42641.76999999999</v>
      </c>
      <c r="Q16" s="41">
        <f>Q7+Q15</f>
        <v>88502.07999999996</v>
      </c>
      <c r="R16" s="41">
        <f>R7+R15</f>
        <v>91722.04999999999</v>
      </c>
      <c r="S16" s="41">
        <f>S7+S15</f>
        <v>106773.51</v>
      </c>
      <c r="T16" s="41">
        <f>T7+T15</f>
        <v>146242.05</v>
      </c>
      <c r="U16" s="41">
        <f>U7+U15</f>
        <v>121295.63</v>
      </c>
      <c r="V16" s="41">
        <f>V7+V15</f>
        <v>83682.32</v>
      </c>
      <c r="W16" s="41">
        <f>W7+W15</f>
        <v>121263.51999999997</v>
      </c>
      <c r="X16" s="41">
        <f>X7+X15</f>
        <v>28572.310000000005</v>
      </c>
      <c r="Y16" s="41">
        <f>Y7+Y15</f>
        <v>-1553.2200000000003</v>
      </c>
      <c r="Z16" s="41">
        <f>Z7+Z15</f>
        <v>15662.790000000006</v>
      </c>
      <c r="AA16" s="41">
        <f>AA7+AA15</f>
        <v>28114.990000000005</v>
      </c>
      <c r="AB16" s="41">
        <f>AB7+AB15</f>
        <v>51958.45999999999</v>
      </c>
      <c r="AC16" s="41">
        <f>AC7+AC15</f>
        <v>25389.730000000003</v>
      </c>
      <c r="AD16" s="41">
        <f>AD7+AD15</f>
        <v>99640.38</v>
      </c>
      <c r="AE16" s="41">
        <f>AE7+AE15</f>
        <v>178241.78999999998</v>
      </c>
      <c r="AF16" s="41">
        <f>AF7+AF15</f>
        <v>22067.370000000003</v>
      </c>
      <c r="AG16" s="41">
        <f>AG7+AG15</f>
        <v>57157.67</v>
      </c>
      <c r="AH16" s="41">
        <f>AH7+AH15</f>
        <v>59437.799999999996</v>
      </c>
      <c r="AI16" s="41">
        <f>AI7+AI15</f>
        <v>10440.870000000003</v>
      </c>
      <c r="AJ16" s="41">
        <f>AJ7+AJ15</f>
        <v>24326.69000000001</v>
      </c>
      <c r="AK16" s="41">
        <f>AK7+AK15</f>
        <v>22731.479999999996</v>
      </c>
      <c r="AL16" s="42">
        <f>B16+C16+D16+E16+F16+G16+H16+I16+J16+K16+L16+M16+N16+O16+P16+Q16+R16+S16+T16+U16+V16+W16+X16+Y16+Z16+AA16+AB16+AC16+AD16+AE16+AF16+AG16+AH16+AI16+AJ16+AK16</f>
        <v>2378512.6700000004</v>
      </c>
    </row>
    <row r="17" spans="1:1" ht="16">
      <c r="A17" s="31" t="s">
        <v>14</v>
      </c>
    </row>
    <row r="18" spans="1:38" ht="16" outlineLevel="1">
      <c r="A18" s="32" t="s">
        <v>15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39">
        <v>-13495.0</v>
      </c>
      <c r="AL18" s="39">
        <f>B18+C18+D18+E18+F18+G18+H18+I18+J18+K18+L18+M18+N18+O18+P18+Q18+R18+S18+T18+U18+V18+W18+X18+Y18+Z18+AA18+AB18+AC18+AD18+AE18+AF18+AG18+AH18+AI18+AJ18+AK18</f>
        <v>-13495.0</v>
      </c>
    </row>
    <row r="19" spans="1:38" ht="16">
      <c r="A19" s="35" t="s">
        <v>16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>
        <f>AK18</f>
        <v>-13495.0</v>
      </c>
      <c r="AL19" s="42">
        <f>B19+C19+D19+E19+F19+G19+H19+I19+J19+K19+L19+M19+N19+O19+P19+Q19+R19+S19+T19+U19+V19+W19+X19+Y19+Z19+AA19+AB19+AC19+AD19+AE19+AF19+AG19+AH19+AI19+AJ19+AK19</f>
        <v>-13495.0</v>
      </c>
    </row>
    <row r="20" spans="1:1" ht="16">
      <c r="A20" s="31" t="s">
        <v>17</v>
      </c>
    </row>
    <row r="21" spans="1:38" ht="16" outlineLevel="1">
      <c r="A21" s="32" t="s">
        <v>18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39">
        <v>25000.0</v>
      </c>
      <c r="AL21" s="39">
        <f>B21+C21+D21+E21+F21+G21+H21+I21+J21+K21+L21+M21+N21+O21+P21+Q21+R21+S21+T21+U21+V21+W21+X21+Y21+Z21+AA21+AB21+AC21+AD21+AE21+AF21+AG21+AH21+AI21+AJ21+AK21</f>
        <v>25000.0</v>
      </c>
    </row>
    <row r="22" spans="1:38" ht="16" outlineLevel="1">
      <c r="A22" s="32" t="s">
        <v>19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39">
        <v>5000.0</v>
      </c>
      <c r="AH22" s="40"/>
      <c r="AI22" s="40"/>
      <c r="AJ22" s="40"/>
      <c r="AK22" s="39">
        <v>-14905.0</v>
      </c>
      <c r="AL22" s="39">
        <f>B22+C22+D22+E22+F22+G22+H22+I22+J22+K22+L22+M22+N22+O22+P22+Q22+R22+S22+T22+U22+V22+W22+X22+Y22+Z22+AA22+AB22+AC22+AD22+AE22+AF22+AG22+AH22+AI22+AJ22+AK22</f>
        <v>-9905.0</v>
      </c>
    </row>
    <row r="23" spans="1:38" ht="16">
      <c r="A23" s="35" t="s">
        <v>20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>
        <f>AG21+AG22</f>
        <v>5000.0</v>
      </c>
      <c r="AH23" s="41"/>
      <c r="AI23" s="41"/>
      <c r="AJ23" s="41"/>
      <c r="AK23" s="41">
        <f>AK21+AK22</f>
        <v>10095.0</v>
      </c>
      <c r="AL23" s="42">
        <f>B23+C23+D23+E23+F23+G23+H23+I23+J23+K23+L23+M23+N23+O23+P23+Q23+R23+S23+T23+U23+V23+W23+X23+Y23+Z23+AA23+AB23+AC23+AD23+AE23+AF23+AG23+AH23+AI23+AJ23+AK23</f>
        <v>15095.0</v>
      </c>
    </row>
    <row r="24" spans="1:38" ht="16">
      <c r="A24" s="35" t="s">
        <v>21</v>
      </c>
      <c r="B24" s="41">
        <f>B16+B19+B23</f>
        <v>6071.86</v>
      </c>
      <c r="C24" s="41">
        <f>C16+C19+C23</f>
        <v>14443.220000000001</v>
      </c>
      <c r="D24" s="41">
        <f>D16+D19+D23</f>
        <v>35020.79999999999</v>
      </c>
      <c r="E24" s="41">
        <f>E16+E19+E23</f>
        <v>138610.86</v>
      </c>
      <c r="F24" s="41">
        <f>F16+F19+F23</f>
        <v>115134.75</v>
      </c>
      <c r="G24" s="41">
        <f>G16+G19+G23</f>
        <v>53079.66</v>
      </c>
      <c r="H24" s="41">
        <f>H16+H19+H23</f>
        <v>165325.75999999998</v>
      </c>
      <c r="I24" s="41">
        <f>I16+I19+I23</f>
        <v>75540.93</v>
      </c>
      <c r="J24" s="41">
        <f>J16+J19+J23</f>
        <v>131425.22</v>
      </c>
      <c r="K24" s="41">
        <f>K16+K19+K23</f>
        <v>108168.34</v>
      </c>
      <c r="L24" s="41">
        <f>L16+L19+L23</f>
        <v>44267.909999999996</v>
      </c>
      <c r="M24" s="41">
        <f>M16+M19+M23</f>
        <v>9923.57</v>
      </c>
      <c r="N24" s="41">
        <f>N16+N19+N23</f>
        <v>28809.930000000004</v>
      </c>
      <c r="O24" s="41">
        <f>O16+O19+O23</f>
        <v>28377.82</v>
      </c>
      <c r="P24" s="41">
        <f>P16+P19+P23</f>
        <v>42641.76999999999</v>
      </c>
      <c r="Q24" s="41">
        <f>Q16+Q19+Q23</f>
        <v>88502.07999999996</v>
      </c>
      <c r="R24" s="41">
        <f>R16+R19+R23</f>
        <v>91722.04999999999</v>
      </c>
      <c r="S24" s="41">
        <f>S16+S19+S23</f>
        <v>106773.51</v>
      </c>
      <c r="T24" s="41">
        <f>T16+T19+T23</f>
        <v>146242.05</v>
      </c>
      <c r="U24" s="41">
        <f>U16+U19+U23</f>
        <v>121295.63</v>
      </c>
      <c r="V24" s="41">
        <f>V16+V19+V23</f>
        <v>83682.32</v>
      </c>
      <c r="W24" s="41">
        <f>W16+W19+W23</f>
        <v>121263.51999999997</v>
      </c>
      <c r="X24" s="41">
        <f>X16+X19+X23</f>
        <v>28572.310000000005</v>
      </c>
      <c r="Y24" s="41">
        <f>Y16+Y19+Y23</f>
        <v>-1553.2200000000003</v>
      </c>
      <c r="Z24" s="41">
        <f>Z16+Z19+Z23</f>
        <v>15662.790000000006</v>
      </c>
      <c r="AA24" s="41">
        <f>AA16+AA19+AA23</f>
        <v>28114.990000000005</v>
      </c>
      <c r="AB24" s="41">
        <f>AB16+AB19+AB23</f>
        <v>51958.45999999999</v>
      </c>
      <c r="AC24" s="41">
        <f>AC16+AC19+AC23</f>
        <v>25389.730000000003</v>
      </c>
      <c r="AD24" s="41">
        <f>AD16+AD19+AD23</f>
        <v>99640.38</v>
      </c>
      <c r="AE24" s="41">
        <f>AE16+AE19+AE23</f>
        <v>178241.78999999998</v>
      </c>
      <c r="AF24" s="41">
        <f>AF16+AF19+AF23</f>
        <v>22067.370000000003</v>
      </c>
      <c r="AG24" s="41">
        <f>AG16+AG19+AG23</f>
        <v>62157.67</v>
      </c>
      <c r="AH24" s="41">
        <f>AH16+AH19+AH23</f>
        <v>59437.799999999996</v>
      </c>
      <c r="AI24" s="41">
        <f>AI16+AI19+AI23</f>
        <v>10440.870000000003</v>
      </c>
      <c r="AJ24" s="41">
        <f>AJ16+AJ19+AJ23</f>
        <v>24326.69000000001</v>
      </c>
      <c r="AK24" s="41">
        <f>AK16+AK19+AK23</f>
        <v>19331.479999999996</v>
      </c>
      <c r="AL24" s="42">
        <f>B24+C24+D24+E24+F24+G24+H24+I24+J24+K24+L24+M24+N24+O24+P24+Q24+R24+S24+T24+U24+V24+W24+X24+Y24+Z24+AA24+AB24+AC24+AD24+AE24+AF24+AG24+AH24+AI24+AJ24+AK24</f>
        <v>2380112.6700000004</v>
      </c>
    </row>
    <row r="28" spans="1:1" ht="16">
      <c r="A28" s="43" t="s">
        <v>60</v>
      </c>
    </row>
  </sheetData>
  <mergeCells count="4">
    <mergeCell ref="A1:AL1"/>
    <mergeCell ref="A2:AL2"/>
    <mergeCell ref="A3:AL3"/>
    <mergeCell ref="A28:AL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